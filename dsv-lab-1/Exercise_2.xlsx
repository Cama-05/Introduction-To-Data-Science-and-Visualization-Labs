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esktop\PoliTo\Data Science and  Visualization\Introduction-To-Data-Science-and-Visualization-Labs\dsv-lab-1\"/>
    </mc:Choice>
  </mc:AlternateContent>
  <xr:revisionPtr revIDLastSave="0" documentId="8_{15979E9B-483C-4046-9DB7-1F8E28B71EEB}" xr6:coauthVersionLast="47" xr6:coauthVersionMax="47" xr10:uidLastSave="{00000000-0000-0000-0000-000000000000}"/>
  <bookViews>
    <workbookView xWindow="-108" yWindow="-108" windowWidth="23256" windowHeight="12456" activeTab="1" xr2:uid="{61BCACC6-B45C-4A19-B920-8CEC95172A71}"/>
  </bookViews>
  <sheets>
    <sheet name="Dataset 2014" sheetId="2" r:id="rId1"/>
    <sheet name="Tasks" sheetId="1" r:id="rId2"/>
  </sheets>
  <definedNames>
    <definedName name="DatiEsterni_1" localSheetId="0" hidden="1">'Dataset 2014'!$A$1:$T$961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  <c r="B22" i="1"/>
  <c r="B23" i="1"/>
  <c r="B24" i="1"/>
  <c r="B25" i="1"/>
  <c r="B26" i="1"/>
  <c r="B27" i="1"/>
  <c r="B28" i="1"/>
  <c r="B16" i="1"/>
  <c r="C15" i="1" a="1"/>
  <c r="C15" i="1" s="1"/>
  <c r="A27" i="1"/>
  <c r="A25" i="1"/>
  <c r="A26" i="1" s="1"/>
  <c r="A22" i="1"/>
  <c r="A23" i="1"/>
  <c r="A24" i="1"/>
  <c r="A17" i="1"/>
  <c r="A18" i="1" s="1"/>
  <c r="A19" i="1" s="1"/>
  <c r="A20" i="1" s="1"/>
  <c r="A21" i="1" s="1"/>
  <c r="A16" i="1"/>
  <c r="B13" i="1" a="1"/>
  <c r="B13" i="1" s="1"/>
  <c r="B12" i="1" a="1"/>
  <c r="B12" i="1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B9" i="1"/>
  <c r="B8" i="1"/>
  <c r="B7" i="1"/>
  <c r="B6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tc={008CC48F-BE42-475C-B924-F3BE2A52CDCB}</author>
  </authors>
  <commentList>
    <comment ref="A11" authorId="0" shapeId="0" xr:uid="{008CC48F-BE42-475C-B924-F3BE2A52CDC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The data shows a strongly right-skewed distribution:
Minimum: €1,743
Median: €98,471
Mean: €143,551
Maximum: €5,355,604
90% of parliamentarians declare less than €178,000, but a very long tail extends beyond €5 million. With linear intervals (e.g., every €500,000), almost all data points would fall into the first bin, making the chart unreadable. With a logarithmic scale, the data distributes evenly across bins.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B9DFE-D19C-41F6-BF53-E9E95C2AE8B7}" keepAlive="1" name="Query - openpolis-patrimoni-trasparenti-anno-2014" description="Connessione alla query 'openpolis-patrimoni-trasparenti-anno-2014' nella cartella di lavoro." type="5" refreshedVersion="8" background="1" saveData="1">
    <dbPr connection="Provider=Microsoft.Mashup.OleDb.1;Data Source=$Workbook$;Location=openpolis-patrimoni-trasparenti-anno-2014;Extended Properties=&quot;&quot;" command="SELECT * FROM [openpolis-patrimoni-trasparenti-anno-201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<sst xmlns="http://schemas.openxmlformats.org/spreadsheetml/2006/main" count="7717" uniqueCount="1482">
  <si>
    <t>openpolis_id</t>
  </si>
  <si>
    <t>nome</t>
  </si>
  <si>
    <t>cognome</t>
  </si>
  <si>
    <t>data_nascita</t>
  </si>
  <si>
    <t>professione</t>
  </si>
  <si>
    <t>incarichi</t>
  </si>
  <si>
    <t>lista di elezione/partito</t>
  </si>
  <si>
    <t>gruppo parlamentare</t>
  </si>
  <si>
    <t>circoscrizione di elezione</t>
  </si>
  <si>
    <t>totale_730_dichiarante</t>
  </si>
  <si>
    <t>totale_730_coniuge</t>
  </si>
  <si>
    <t>totale_contributi_elettorali</t>
  </si>
  <si>
    <t>totale_spese_elettorali</t>
  </si>
  <si>
    <t>indice_completezza</t>
  </si>
  <si>
    <t>note_completezza</t>
  </si>
  <si>
    <t>numero fabbricati</t>
  </si>
  <si>
    <t>numero terreni</t>
  </si>
  <si>
    <t>numero beni mobili</t>
  </si>
  <si>
    <t>numero di partecipazioni (azioni/quote) in società</t>
  </si>
  <si>
    <t>numero di incarichi di amministratore di società</t>
  </si>
  <si>
    <t>antonio enrico</t>
  </si>
  <si>
    <t>morando</t>
  </si>
  <si>
    <t>funzionario di partito</t>
  </si>
  <si>
    <t>governo</t>
  </si>
  <si>
    <t>pd</t>
  </si>
  <si>
    <t/>
  </si>
  <si>
    <t>informazioni parziali: la dichiarazione dei redditi è assente</t>
  </si>
  <si>
    <t>mara</t>
  </si>
  <si>
    <t>carocci</t>
  </si>
  <si>
    <t>insegnante</t>
  </si>
  <si>
    <t>camera</t>
  </si>
  <si>
    <t>liguria</t>
  </si>
  <si>
    <t>informazioni parziali: pubblica solo il quadro di riepilogo della dichiarazione dei redditi</t>
  </si>
  <si>
    <t>francesco (basilio)</t>
  </si>
  <si>
    <t>catanoso genoese</t>
  </si>
  <si>
    <t>imprenditore</t>
  </si>
  <si>
    <t>pdl</t>
  </si>
  <si>
    <t>fi-pdl</t>
  </si>
  <si>
    <t>sicilia 2</t>
  </si>
  <si>
    <t>demetrio</t>
  </si>
  <si>
    <t>battaglia</t>
  </si>
  <si>
    <t>avvocato</t>
  </si>
  <si>
    <t>calabria</t>
  </si>
  <si>
    <t>informazioni complete: pubblica tutti i quadri della dichiarazione dei redditi</t>
  </si>
  <si>
    <t>paolo</t>
  </si>
  <si>
    <t>beni</t>
  </si>
  <si>
    <t>toscana</t>
  </si>
  <si>
    <t>renzo</t>
  </si>
  <si>
    <t>carella</t>
  </si>
  <si>
    <t>impiegato</t>
  </si>
  <si>
    <t>lazio 1</t>
  </si>
  <si>
    <t>roberto</t>
  </si>
  <si>
    <t>caon</t>
  </si>
  <si>
    <t>lega</t>
  </si>
  <si>
    <t>misto</t>
  </si>
  <si>
    <t>veneto 1</t>
  </si>
  <si>
    <t>luciano</t>
  </si>
  <si>
    <t>agostini</t>
  </si>
  <si>
    <t>marche</t>
  </si>
  <si>
    <t>beatrice</t>
  </si>
  <si>
    <t>brignone</t>
  </si>
  <si>
    <t>informazioni parziali: pubblica solo il quadro di riepilogo della dichiarazione dei redditi; la dichiarazione elettorale è assente</t>
  </si>
  <si>
    <t>cova</t>
  </si>
  <si>
    <t>libero professionista</t>
  </si>
  <si>
    <t>lombardia 1</t>
  </si>
  <si>
    <t>gianluca</t>
  </si>
  <si>
    <t>susta</t>
  </si>
  <si>
    <t>senato</t>
  </si>
  <si>
    <t>scpi</t>
  </si>
  <si>
    <t>piemonte</t>
  </si>
  <si>
    <t>mariastella</t>
  </si>
  <si>
    <t>gelmini</t>
  </si>
  <si>
    <t>lombardia 2</t>
  </si>
  <si>
    <t>vittoria</t>
  </si>
  <si>
    <t>d'incecco</t>
  </si>
  <si>
    <t>medico</t>
  </si>
  <si>
    <t>abruzzo</t>
  </si>
  <si>
    <t>gabriele</t>
  </si>
  <si>
    <t>toccafondi</t>
  </si>
  <si>
    <t>ncd</t>
  </si>
  <si>
    <t>informazioni parziali: la dichiarazione patrimoniale è incompleta</t>
  </si>
  <si>
    <t>maurizio giuseppe</t>
  </si>
  <si>
    <t>rossi</t>
  </si>
  <si>
    <t>informazioni parziali: pubblica solo il quadro di riepilogo della dichiarazione dei redditi; beni immobili non elencati in dettaglio</t>
  </si>
  <si>
    <t>giuseppe</t>
  </si>
  <si>
    <t>zappulla</t>
  </si>
  <si>
    <t>sindacalista</t>
  </si>
  <si>
    <t>pierpaolo</t>
  </si>
  <si>
    <t>vargiu</t>
  </si>
  <si>
    <t>sardegna</t>
  </si>
  <si>
    <t>informazioni parziali: nel modello cud manca la pagina con le annotazioni</t>
  </si>
  <si>
    <t>anna cinzia</t>
  </si>
  <si>
    <t>bonfrisco</t>
  </si>
  <si>
    <t>cri</t>
  </si>
  <si>
    <t>veneto</t>
  </si>
  <si>
    <t>angela rosaria (fucsia)</t>
  </si>
  <si>
    <t>nissoli</t>
  </si>
  <si>
    <t>pi</t>
  </si>
  <si>
    <t>america settentrionale e centrale</t>
  </si>
  <si>
    <t>matteo</t>
  </si>
  <si>
    <t>mantero</t>
  </si>
  <si>
    <t>commercianti e esercenti di negozio</t>
  </si>
  <si>
    <t>m5s</t>
  </si>
  <si>
    <t>vincenza (enza)</t>
  </si>
  <si>
    <t>bruno bossio</t>
  </si>
  <si>
    <t>rosaria (rosy)</t>
  </si>
  <si>
    <t>bindi</t>
  </si>
  <si>
    <t>domenico</t>
  </si>
  <si>
    <t>scilipoti</t>
  </si>
  <si>
    <t>anna maria</t>
  </si>
  <si>
    <t>bernini</t>
  </si>
  <si>
    <t>emilia-romagna</t>
  </si>
  <si>
    <t>cecilia (liliana)</t>
  </si>
  <si>
    <t>ventricelli</t>
  </si>
  <si>
    <t>scolari e studenti</t>
  </si>
  <si>
    <t>puglia</t>
  </si>
  <si>
    <t>danilo</t>
  </si>
  <si>
    <t>toninelli</t>
  </si>
  <si>
    <t>lombardia 3</t>
  </si>
  <si>
    <t>informazioni aggiuntive: pubblica anche la dichiarazione dei redditi completa del coniuge</t>
  </si>
  <si>
    <t>nicola (nico)</t>
  </si>
  <si>
    <t>stumpo</t>
  </si>
  <si>
    <t>girgis giorgio</t>
  </si>
  <si>
    <t>sorial</t>
  </si>
  <si>
    <t>generoso (gianni)</t>
  </si>
  <si>
    <t>melilla</t>
  </si>
  <si>
    <t>sel</t>
  </si>
  <si>
    <t>si-sel</t>
  </si>
  <si>
    <t>nicodemo nazzareno</t>
  </si>
  <si>
    <t>oliverio</t>
  </si>
  <si>
    <t>barbato (tino)</t>
  </si>
  <si>
    <t>iannuzzi</t>
  </si>
  <si>
    <t>campania 2</t>
  </si>
  <si>
    <t>informazioni aggiuntive: pubblica anche la dichiarazione dei redditi del coniuge</t>
  </si>
  <si>
    <t>gerolamo (gero)</t>
  </si>
  <si>
    <t>grassi</t>
  </si>
  <si>
    <t>direttori generali e categorie similari della pubblica amministrazione</t>
  </si>
  <si>
    <t>informazioni aggiuntive: pubblica anche le dichiarazioni dei redditi complete del coniuge e del figlio</t>
  </si>
  <si>
    <t>emanuele</t>
  </si>
  <si>
    <t>fiano</t>
  </si>
  <si>
    <t>architetti</t>
  </si>
  <si>
    <t>laura</t>
  </si>
  <si>
    <t>coccia</t>
  </si>
  <si>
    <t>francesco (franco)</t>
  </si>
  <si>
    <t>cassano</t>
  </si>
  <si>
    <t>bruno</t>
  </si>
  <si>
    <t>altri ingegneri</t>
  </si>
  <si>
    <t>cd</t>
  </si>
  <si>
    <t>alfonso</t>
  </si>
  <si>
    <t>bonafede</t>
  </si>
  <si>
    <t>ferdinando (dino)</t>
  </si>
  <si>
    <t>alberti</t>
  </si>
  <si>
    <t>donatella</t>
  </si>
  <si>
    <t>agostinelli</t>
  </si>
  <si>
    <t>giuseppe (pino)</t>
  </si>
  <si>
    <t>pisicchio</t>
  </si>
  <si>
    <t>giornalista</t>
  </si>
  <si>
    <t>nazzareno</t>
  </si>
  <si>
    <t>pilozzi</t>
  </si>
  <si>
    <t>lazio 2</t>
  </si>
  <si>
    <t>paola</t>
  </si>
  <si>
    <t>boldrini</t>
  </si>
  <si>
    <t>franco</t>
  </si>
  <si>
    <t>bordo</t>
  </si>
  <si>
    <t>gandolfi</t>
  </si>
  <si>
    <t>ferdinando</t>
  </si>
  <si>
    <t>adornato</t>
  </si>
  <si>
    <t>udc</t>
  </si>
  <si>
    <t>ap (ncd-udc)</t>
  </si>
  <si>
    <t>sicilia 1</t>
  </si>
  <si>
    <t>alli</t>
  </si>
  <si>
    <t>anna</t>
  </si>
  <si>
    <t>ascani</t>
  </si>
  <si>
    <t>umbria</t>
  </si>
  <si>
    <t>pier paolo</t>
  </si>
  <si>
    <t>baretta</t>
  </si>
  <si>
    <t>camera, governo</t>
  </si>
  <si>
    <t>pd, pd</t>
  </si>
  <si>
    <t>veneto 2</t>
  </si>
  <si>
    <t>lorenzo</t>
  </si>
  <si>
    <t>basso</t>
  </si>
  <si>
    <t>massimo enrico</t>
  </si>
  <si>
    <t>baroni</t>
  </si>
  <si>
    <t>marina</t>
  </si>
  <si>
    <t>berlinghieri</t>
  </si>
  <si>
    <t>berretta</t>
  </si>
  <si>
    <t>dorina</t>
  </si>
  <si>
    <t>bianchi</t>
  </si>
  <si>
    <t>binetti</t>
  </si>
  <si>
    <t>tamara</t>
  </si>
  <si>
    <t>blazina</t>
  </si>
  <si>
    <t>friuli-venezia giulia</t>
  </si>
  <si>
    <t>luigi</t>
  </si>
  <si>
    <t>bobba</t>
  </si>
  <si>
    <t>piemonte 2</t>
  </si>
  <si>
    <t>informazioni complete: valutazione basata sulla dichiarazione depositata al ministero, la versione per il parlamento è parziale</t>
  </si>
  <si>
    <t>sergio</t>
  </si>
  <si>
    <t>boccadutri</t>
  </si>
  <si>
    <t>francesca</t>
  </si>
  <si>
    <t>bonomo</t>
  </si>
  <si>
    <t>piemonte 1</t>
  </si>
  <si>
    <t>chiara</t>
  </si>
  <si>
    <t>braga</t>
  </si>
  <si>
    <t>giorgio</t>
  </si>
  <si>
    <t>brandolin</t>
  </si>
  <si>
    <t>bragantini</t>
  </si>
  <si>
    <t>brescia</t>
  </si>
  <si>
    <t>filippo</t>
  </si>
  <si>
    <t>busin</t>
  </si>
  <si>
    <t>informazioni aggiuntive: pubblica anche dati sul coniuge</t>
  </si>
  <si>
    <t>businarolo</t>
  </si>
  <si>
    <t>angelo</t>
  </si>
  <si>
    <t>capodicasa</t>
  </si>
  <si>
    <t>maria rosaria</t>
  </si>
  <si>
    <t>carfagna</t>
  </si>
  <si>
    <t>daniela</t>
  </si>
  <si>
    <t>cardinale</t>
  </si>
  <si>
    <t>antonio</t>
  </si>
  <si>
    <t>castricone</t>
  </si>
  <si>
    <t>nicola</t>
  </si>
  <si>
    <t>ciraci'</t>
  </si>
  <si>
    <t>coppola</t>
  </si>
  <si>
    <t>emanuela</t>
  </si>
  <si>
    <t>corda</t>
  </si>
  <si>
    <t>d'ambrosio</t>
  </si>
  <si>
    <t>rocco</t>
  </si>
  <si>
    <t>crimi</t>
  </si>
  <si>
    <t>farmacisti</t>
  </si>
  <si>
    <t>diego</t>
  </si>
  <si>
    <t>de lorenzis</t>
  </si>
  <si>
    <t>daniele</t>
  </si>
  <si>
    <t>del grosso</t>
  </si>
  <si>
    <t>famiglietti</t>
  </si>
  <si>
    <t>carlo</t>
  </si>
  <si>
    <t>galli</t>
  </si>
  <si>
    <t>ilaria</t>
  </si>
  <si>
    <t>borletti dell'acqua buitoni</t>
  </si>
  <si>
    <t>, scpi</t>
  </si>
  <si>
    <t>veronica</t>
  </si>
  <si>
    <t>tentori</t>
  </si>
  <si>
    <t>maria cecilia</t>
  </si>
  <si>
    <t>guerra</t>
  </si>
  <si>
    <t>francesco</t>
  </si>
  <si>
    <t>verducci</t>
  </si>
  <si>
    <t>maria chiara</t>
  </si>
  <si>
    <t>gadda</t>
  </si>
  <si>
    <t>graziano</t>
  </si>
  <si>
    <t>delrio</t>
  </si>
  <si>
    <t>barracciu</t>
  </si>
  <si>
    <t>commercialisti e assimilati</t>
  </si>
  <si>
    <t>giuliano</t>
  </si>
  <si>
    <t>poletti</t>
  </si>
  <si>
    <t>tec</t>
  </si>
  <si>
    <t>gian luca</t>
  </si>
  <si>
    <t>galletti</t>
  </si>
  <si>
    <t>informazioni aggiuntive: pubblica anche la dichiarazione dei redditi completa del coniuge e dei familiari; pubblica l'elenco dei finanziatori della campagna elettorale</t>
  </si>
  <si>
    <t>calenda</t>
  </si>
  <si>
    <t>federica</t>
  </si>
  <si>
    <t>guidi</t>
  </si>
  <si>
    <t>pietro carlo</t>
  </si>
  <si>
    <t>padoan</t>
  </si>
  <si>
    <t>gioacchino</t>
  </si>
  <si>
    <t>alfano</t>
  </si>
  <si>
    <t>pdl, ncd</t>
  </si>
  <si>
    <t>campania 1</t>
  </si>
  <si>
    <t>andrea</t>
  </si>
  <si>
    <t>orlando</t>
  </si>
  <si>
    <t>luca</t>
  </si>
  <si>
    <t>lotti</t>
  </si>
  <si>
    <t>sante</t>
  </si>
  <si>
    <t>zuffada</t>
  </si>
  <si>
    <t>lombardia</t>
  </si>
  <si>
    <t>renzi</t>
  </si>
  <si>
    <t>informazioni aggiuntive: pubblica anche le dichiarazioni dei redditi complete del coniuge e dei familiari</t>
  </si>
  <si>
    <t>vittorio</t>
  </si>
  <si>
    <t>zizza</t>
  </si>
  <si>
    <t>claudio</t>
  </si>
  <si>
    <t>zin</t>
  </si>
  <si>
    <t>altro</t>
  </si>
  <si>
    <t>aut-psi</t>
  </si>
  <si>
    <t>america meridionale</t>
  </si>
  <si>
    <t>karl</t>
  </si>
  <si>
    <t>zeller</t>
  </si>
  <si>
    <t>svp</t>
  </si>
  <si>
    <t>trentino-alto adige</t>
  </si>
  <si>
    <t>zavoli</t>
  </si>
  <si>
    <t>campania</t>
  </si>
  <si>
    <t>magda angela</t>
  </si>
  <si>
    <t>zanoni</t>
  </si>
  <si>
    <t>luigi enrico</t>
  </si>
  <si>
    <t>zanda</t>
  </si>
  <si>
    <t>lazio</t>
  </si>
  <si>
    <t>raffaele</t>
  </si>
  <si>
    <t>volpi</t>
  </si>
  <si>
    <t>riccardo</t>
  </si>
  <si>
    <t>villari</t>
  </si>
  <si>
    <t>dennis</t>
  </si>
  <si>
    <t>verdini</t>
  </si>
  <si>
    <t>al-a</t>
  </si>
  <si>
    <t>vito</t>
  </si>
  <si>
    <t>vattuone</t>
  </si>
  <si>
    <t>valdinosi</t>
  </si>
  <si>
    <t>uras</t>
  </si>
  <si>
    <t>informazioni aggiuntive: pubblica anche dati della dichiarazione dei redditi completa del coniuge</t>
  </si>
  <si>
    <t>vacciano</t>
  </si>
  <si>
    <t>stefano</t>
  </si>
  <si>
    <t>vaccari</t>
  </si>
  <si>
    <t>operai metallurgici non altrove classificati</t>
  </si>
  <si>
    <t>renato guerino</t>
  </si>
  <si>
    <t>turano</t>
  </si>
  <si>
    <t>mario</t>
  </si>
  <si>
    <t>tronti</t>
  </si>
  <si>
    <t>giulio</t>
  </si>
  <si>
    <t>tremonti</t>
  </si>
  <si>
    <t>grandi autonomie e libertà</t>
  </si>
  <si>
    <t>tosato</t>
  </si>
  <si>
    <t>tonini</t>
  </si>
  <si>
    <t>salvatore</t>
  </si>
  <si>
    <t>tomaselli</t>
  </si>
  <si>
    <t>walter</t>
  </si>
  <si>
    <t>tocci</t>
  </si>
  <si>
    <t>taverna</t>
  </si>
  <si>
    <t>lucio rosario filippo</t>
  </si>
  <si>
    <t>tarquinio</t>
  </si>
  <si>
    <t>giacomo</t>
  </si>
  <si>
    <t>stucchi</t>
  </si>
  <si>
    <t>dario</t>
  </si>
  <si>
    <t>ugo</t>
  </si>
  <si>
    <t>sposetti</t>
  </si>
  <si>
    <t>maria</t>
  </si>
  <si>
    <t>spilabotte</t>
  </si>
  <si>
    <t>lodovico</t>
  </si>
  <si>
    <t>sonego</t>
  </si>
  <si>
    <t>pasquale</t>
  </si>
  <si>
    <t>sollo</t>
  </si>
  <si>
    <t>ivana</t>
  </si>
  <si>
    <t>simeoni</t>
  </si>
  <si>
    <t>annalisa</t>
  </si>
  <si>
    <t>silvestro</t>
  </si>
  <si>
    <t>cosimo</t>
  </si>
  <si>
    <t>sibilia</t>
  </si>
  <si>
    <t>giancarlo</t>
  </si>
  <si>
    <t>serafini</t>
  </si>
  <si>
    <t>persone ritirate dal lavoro</t>
  </si>
  <si>
    <t>scoma</t>
  </si>
  <si>
    <t>sicilia</t>
  </si>
  <si>
    <t>marco</t>
  </si>
  <si>
    <t>scibona</t>
  </si>
  <si>
    <t>sciascia</t>
  </si>
  <si>
    <t>renato giuseppe</t>
  </si>
  <si>
    <t>schifani</t>
  </si>
  <si>
    <t>antonio fabio maria</t>
  </si>
  <si>
    <t>scavone</t>
  </si>
  <si>
    <t>scalia</t>
  </si>
  <si>
    <t>santini</t>
  </si>
  <si>
    <t>vincenzo</t>
  </si>
  <si>
    <t>santangelo</t>
  </si>
  <si>
    <t>maurizio</t>
  </si>
  <si>
    <t>sacconi</t>
  </si>
  <si>
    <t>ruta</t>
  </si>
  <si>
    <t>molise</t>
  </si>
  <si>
    <t>russo</t>
  </si>
  <si>
    <t>mariarosaria</t>
  </si>
  <si>
    <t>lucio</t>
  </si>
  <si>
    <t>romano</t>
  </si>
  <si>
    <t>romani</t>
  </si>
  <si>
    <t>rizzotti</t>
  </si>
  <si>
    <t>manuela</t>
  </si>
  <si>
    <t>repetti</t>
  </si>
  <si>
    <t>lucrezia</t>
  </si>
  <si>
    <t>ricchiuti</t>
  </si>
  <si>
    <t>ranucci</t>
  </si>
  <si>
    <t>gaetano</t>
  </si>
  <si>
    <t>quagliariello</t>
  </si>
  <si>
    <t>puppato</t>
  </si>
  <si>
    <t>informazioni aggiuntive: pubblica anche dati della dichiarazione dei redditi completa di coniuge e figlia</t>
  </si>
  <si>
    <t>pizzetti</t>
  </si>
  <si>
    <t>senato, governo</t>
  </si>
  <si>
    <t>roberta</t>
  </si>
  <si>
    <t>pinotti</t>
  </si>
  <si>
    <t>leana</t>
  </si>
  <si>
    <t>pignedoli</t>
  </si>
  <si>
    <t>granaiola</t>
  </si>
  <si>
    <t>informazioni aggiuntive: pubblica anche dati del coniuge</t>
  </si>
  <si>
    <t>de micheli</t>
  </si>
  <si>
    <t>serra</t>
  </si>
  <si>
    <t>augello</t>
  </si>
  <si>
    <t>giovanni</t>
  </si>
  <si>
    <t>piccoli</t>
  </si>
  <si>
    <t>enrico</t>
  </si>
  <si>
    <t>piccinelli</t>
  </si>
  <si>
    <t>vito rosario</t>
  </si>
  <si>
    <t>petrocelli</t>
  </si>
  <si>
    <t>basilicata</t>
  </si>
  <si>
    <t>alessia</t>
  </si>
  <si>
    <t>petraglia</t>
  </si>
  <si>
    <t>bartolomeo</t>
  </si>
  <si>
    <t>pepe</t>
  </si>
  <si>
    <t>pegorer</t>
  </si>
  <si>
    <t>annamaria</t>
  </si>
  <si>
    <t>parente</t>
  </si>
  <si>
    <t>panizza</t>
  </si>
  <si>
    <t>pagano</t>
  </si>
  <si>
    <t>sara</t>
  </si>
  <si>
    <t>paglini</t>
  </si>
  <si>
    <t>pagliari</t>
  </si>
  <si>
    <t>pamela giacoma giovanna</t>
  </si>
  <si>
    <t>orrù</t>
  </si>
  <si>
    <t>venera</t>
  </si>
  <si>
    <t>padua</t>
  </si>
  <si>
    <t>olivero</t>
  </si>
  <si>
    <t>informazioni complete: pubblica tutti i quadri della dichiarazione dei redditi; rating positivo basato sulla dichiarazione depositata al ministero, da sottolineare che la dichiarazione depositata al parlamento non è completa (manca la versione integrale della dichiarazione dei redditi)</t>
  </si>
  <si>
    <t>nugnes</t>
  </si>
  <si>
    <t>naccarato</t>
  </si>
  <si>
    <t>mussini</t>
  </si>
  <si>
    <t>massimo</t>
  </si>
  <si>
    <t>mucchetti</t>
  </si>
  <si>
    <t>moscardelli</t>
  </si>
  <si>
    <t>munerato</t>
  </si>
  <si>
    <t>morgoni</t>
  </si>
  <si>
    <t>morra</t>
  </si>
  <si>
    <t>michela</t>
  </si>
  <si>
    <t>montevecchi</t>
  </si>
  <si>
    <t>mirabelli</t>
  </si>
  <si>
    <t>augusto</t>
  </si>
  <si>
    <t>minzolini</t>
  </si>
  <si>
    <t>milo</t>
  </si>
  <si>
    <t>migliavacca</t>
  </si>
  <si>
    <t>micheloni</t>
  </si>
  <si>
    <t>geometri e periti edili</t>
  </si>
  <si>
    <t>europa</t>
  </si>
  <si>
    <t>alfredo</t>
  </si>
  <si>
    <t>messina</t>
  </si>
  <si>
    <t>maria paola</t>
  </si>
  <si>
    <t>merloni</t>
  </si>
  <si>
    <t>mario walter</t>
  </si>
  <si>
    <t>mauro</t>
  </si>
  <si>
    <t>giuseppina</t>
  </si>
  <si>
    <t>maturani</t>
  </si>
  <si>
    <t>mattesini</t>
  </si>
  <si>
    <t>marino germano</t>
  </si>
  <si>
    <t>mastrangeli</t>
  </si>
  <si>
    <t>martini</t>
  </si>
  <si>
    <t>martelli</t>
  </si>
  <si>
    <t>mauro maria</t>
  </si>
  <si>
    <t>marino</t>
  </si>
  <si>
    <t>marton</t>
  </si>
  <si>
    <t>marin</t>
  </si>
  <si>
    <t>giuseppe francesco maria</t>
  </si>
  <si>
    <t>marinello</t>
  </si>
  <si>
    <t>margiotta</t>
  </si>
  <si>
    <t>alessandro</t>
  </si>
  <si>
    <t>maran</t>
  </si>
  <si>
    <t>giovanna</t>
  </si>
  <si>
    <t>mangili</t>
  </si>
  <si>
    <t>mandelli</t>
  </si>
  <si>
    <t>mancuso</t>
  </si>
  <si>
    <t>patrizia</t>
  </si>
  <si>
    <t>manassero</t>
  </si>
  <si>
    <t>lucidi</t>
  </si>
  <si>
    <t>lucherini</t>
  </si>
  <si>
    <t>fausto guilherme</t>
  </si>
  <si>
    <t>longo</t>
  </si>
  <si>
    <t>doris</t>
  </si>
  <si>
    <t>lo moro</t>
  </si>
  <si>
    <t>magistrati e giuristi</t>
  </si>
  <si>
    <t>lo giudice</t>
  </si>
  <si>
    <t>pietro</t>
  </si>
  <si>
    <t>liuzzi</t>
  </si>
  <si>
    <t>lepri</t>
  </si>
  <si>
    <t>colomba</t>
  </si>
  <si>
    <t>mongiello</t>
  </si>
  <si>
    <t>latorre</t>
  </si>
  <si>
    <t>linda</t>
  </si>
  <si>
    <t>lanzillotta</t>
  </si>
  <si>
    <t>albert</t>
  </si>
  <si>
    <t>laniece</t>
  </si>
  <si>
    <t>valle d'aosta</t>
  </si>
  <si>
    <t>langella</t>
  </si>
  <si>
    <t>bachisio silvio</t>
  </si>
  <si>
    <t>lai</t>
  </si>
  <si>
    <t>iurlaro</t>
  </si>
  <si>
    <t>josefa</t>
  </si>
  <si>
    <t>idem</t>
  </si>
  <si>
    <t>ichino</t>
  </si>
  <si>
    <t>guerrieri paoletti</t>
  </si>
  <si>
    <t>miguel</t>
  </si>
  <si>
    <t>gotor</t>
  </si>
  <si>
    <t>francesco maria</t>
  </si>
  <si>
    <t>giro</t>
  </si>
  <si>
    <t>carlo amedeo</t>
  </si>
  <si>
    <t>giovanardi</t>
  </si>
  <si>
    <t>nadia</t>
  </si>
  <si>
    <t>ginetti</t>
  </si>
  <si>
    <t>gibiino</t>
  </si>
  <si>
    <t>giacobbe</t>
  </si>
  <si>
    <t>asia-africa-oceania-antartide</t>
  </si>
  <si>
    <t>gentile</t>
  </si>
  <si>
    <t>gasparri</t>
  </si>
  <si>
    <t>adele</t>
  </si>
  <si>
    <t>gambaro</t>
  </si>
  <si>
    <t>galimberti</t>
  </si>
  <si>
    <t>gaetti</t>
  </si>
  <si>
    <t>maria grazia</t>
  </si>
  <si>
    <t>gatti</t>
  </si>
  <si>
    <t>informazioni aggiuntive: pubblica anche la dichiarazione di successione</t>
  </si>
  <si>
    <t>niccolò</t>
  </si>
  <si>
    <t>ghedini</t>
  </si>
  <si>
    <t>federico</t>
  </si>
  <si>
    <t>fornaro</t>
  </si>
  <si>
    <t>formigoni</t>
  </si>
  <si>
    <t>elena</t>
  </si>
  <si>
    <t>fissore</t>
  </si>
  <si>
    <t>finocchiaro</t>
  </si>
  <si>
    <t>filippi</t>
  </si>
  <si>
    <t>ferrara</t>
  </si>
  <si>
    <t>francesco mario</t>
  </si>
  <si>
    <t>valeria</t>
  </si>
  <si>
    <t>fedeli</t>
  </si>
  <si>
    <t>nicoletta</t>
  </si>
  <si>
    <t>favero</t>
  </si>
  <si>
    <t>emma</t>
  </si>
  <si>
    <t>fattorini</t>
  </si>
  <si>
    <t>fattori</t>
  </si>
  <si>
    <t>fasiolo</t>
  </si>
  <si>
    <t>fasano</t>
  </si>
  <si>
    <t>ciro</t>
  </si>
  <si>
    <t>falanga</t>
  </si>
  <si>
    <t>camilla</t>
  </si>
  <si>
    <t>fabbri</t>
  </si>
  <si>
    <t>endrizzi</t>
  </si>
  <si>
    <t>donno</t>
  </si>
  <si>
    <t>persone in cerca di prima occupazione</t>
  </si>
  <si>
    <t>nerina</t>
  </si>
  <si>
    <t>dirindin</t>
  </si>
  <si>
    <t>salvatore tito</t>
  </si>
  <si>
    <t>di maggio</t>
  </si>
  <si>
    <t>ulisse</t>
  </si>
  <si>
    <t>di giacomo</t>
  </si>
  <si>
    <t>benedetto</t>
  </si>
  <si>
    <t>della vedova</t>
  </si>
  <si>
    <t>aldo</t>
  </si>
  <si>
    <t>di biagio</t>
  </si>
  <si>
    <t>del barba</t>
  </si>
  <si>
    <t>de siano</t>
  </si>
  <si>
    <t>loredana</t>
  </si>
  <si>
    <t>de petris</t>
  </si>
  <si>
    <t>cristina</t>
  </si>
  <si>
    <t>de pietro</t>
  </si>
  <si>
    <t>michelino</t>
  </si>
  <si>
    <t>davico</t>
  </si>
  <si>
    <t>dalla tor</t>
  </si>
  <si>
    <t>angela</t>
  </si>
  <si>
    <t>d'onghia</t>
  </si>
  <si>
    <t>gianpiero</t>
  </si>
  <si>
    <t>dalla zuanna</t>
  </si>
  <si>
    <t>vincenzo mario domenico</t>
  </si>
  <si>
    <t>d'ascola</t>
  </si>
  <si>
    <t>d'anna</t>
  </si>
  <si>
    <t>alberto</t>
  </si>
  <si>
    <t>bombassei</t>
  </si>
  <si>
    <t>maestri</t>
  </si>
  <si>
    <t>battista</t>
  </si>
  <si>
    <t>d'ambrosio lettieri</t>
  </si>
  <si>
    <t>d'alì</t>
  </si>
  <si>
    <t>erica</t>
  </si>
  <si>
    <t>d'adda</t>
  </si>
  <si>
    <t>cuomo</t>
  </si>
  <si>
    <t>giuseppe luigi salvatore</t>
  </si>
  <si>
    <t>cucca</t>
  </si>
  <si>
    <t>jonny</t>
  </si>
  <si>
    <t>crosio</t>
  </si>
  <si>
    <t>vito claudio</t>
  </si>
  <si>
    <t>cotti</t>
  </si>
  <si>
    <t>corsini</t>
  </si>
  <si>
    <t>conte</t>
  </si>
  <si>
    <t>conti</t>
  </si>
  <si>
    <t>nunziante</t>
  </si>
  <si>
    <t>consiglio</t>
  </si>
  <si>
    <t>compagnone</t>
  </si>
  <si>
    <t>compagna</t>
  </si>
  <si>
    <t>colucci</t>
  </si>
  <si>
    <t>monica</t>
  </si>
  <si>
    <t>cirinnà</t>
  </si>
  <si>
    <t>cioffi</t>
  </si>
  <si>
    <t>ciampolillo</t>
  </si>
  <si>
    <t>chiavaroli</t>
  </si>
  <si>
    <t>vannino</t>
  </si>
  <si>
    <t>chiti</t>
  </si>
  <si>
    <t>informazioni aggiuntive: pubblica anche dati sulla dichiarazione dei redditi completa del coniuge</t>
  </si>
  <si>
    <t>cervellini</t>
  </si>
  <si>
    <t>nunzia</t>
  </si>
  <si>
    <t>catalfo</t>
  </si>
  <si>
    <t>castaldi</t>
  </si>
  <si>
    <t>felice</t>
  </si>
  <si>
    <t>casson</t>
  </si>
  <si>
    <t>gian marco</t>
  </si>
  <si>
    <t>centinaio</t>
  </si>
  <si>
    <t>carraro</t>
  </si>
  <si>
    <t>cardinali</t>
  </si>
  <si>
    <t>cardiello</t>
  </si>
  <si>
    <t>cantini</t>
  </si>
  <si>
    <t>rosaria</t>
  </si>
  <si>
    <t>capacchione</t>
  </si>
  <si>
    <t>campanella</t>
  </si>
  <si>
    <t>candiani</t>
  </si>
  <si>
    <t>caliendo</t>
  </si>
  <si>
    <t>calderoli</t>
  </si>
  <si>
    <t>elisa</t>
  </si>
  <si>
    <t>bulgarelli</t>
  </si>
  <si>
    <t>buemi</t>
  </si>
  <si>
    <t>buccarella</t>
  </si>
  <si>
    <t>donato</t>
  </si>
  <si>
    <t>bruni</t>
  </si>
  <si>
    <t>broglia</t>
  </si>
  <si>
    <t>bottici</t>
  </si>
  <si>
    <t>sandro</t>
  </si>
  <si>
    <t>bondi</t>
  </si>
  <si>
    <t>bonaiuti</t>
  </si>
  <si>
    <t>fabrizio</t>
  </si>
  <si>
    <t>bocchino</t>
  </si>
  <si>
    <t>bernabò</t>
  </si>
  <si>
    <t>bocca</t>
  </si>
  <si>
    <t>rosetta enza</t>
  </si>
  <si>
    <t>blundo</t>
  </si>
  <si>
    <t>giovanni emanuele</t>
  </si>
  <si>
    <t>bilardi</t>
  </si>
  <si>
    <t>bianconi</t>
  </si>
  <si>
    <t>amedeo</t>
  </si>
  <si>
    <t>bianco</t>
  </si>
  <si>
    <t>ornella</t>
  </si>
  <si>
    <t>bertorotta</t>
  </si>
  <si>
    <t>johann karl</t>
  </si>
  <si>
    <t>berger</t>
  </si>
  <si>
    <t>barozzino</t>
  </si>
  <si>
    <t>auricchio</t>
  </si>
  <si>
    <t>informazioni aggiuntive: pubblica anche dati su sui familiari</t>
  </si>
  <si>
    <t>astorre</t>
  </si>
  <si>
    <t>amoruso</t>
  </si>
  <si>
    <t>amidei</t>
  </si>
  <si>
    <t>informazioni parziali: pubblica solo il quadro di riepilogo della dichiarazione dei redditi, dichiarazione elettorale assente</t>
  </si>
  <si>
    <t>silvana</t>
  </si>
  <si>
    <t>amati</t>
  </si>
  <si>
    <t>albertini</t>
  </si>
  <si>
    <t>airola</t>
  </si>
  <si>
    <t>aiello</t>
  </si>
  <si>
    <t>davide</t>
  </si>
  <si>
    <t>zoggia</t>
  </si>
  <si>
    <t>filiberto</t>
  </si>
  <si>
    <t>zaratti</t>
  </si>
  <si>
    <t>zanetti</t>
  </si>
  <si>
    <t>zan</t>
  </si>
  <si>
    <t>sandra</t>
  </si>
  <si>
    <t>zampa</t>
  </si>
  <si>
    <t>adriano</t>
  </si>
  <si>
    <t>zaccagnini</t>
  </si>
  <si>
    <t>rosa maria</t>
  </si>
  <si>
    <t>villecco calipari</t>
  </si>
  <si>
    <t>vitelli</t>
  </si>
  <si>
    <t>alessio mattia</t>
  </si>
  <si>
    <t>villarosa</t>
  </si>
  <si>
    <t>vignaroli</t>
  </si>
  <si>
    <t>raffaello</t>
  </si>
  <si>
    <t>vignali</t>
  </si>
  <si>
    <t>maria valentina</t>
  </si>
  <si>
    <t>vezzali</t>
  </si>
  <si>
    <t>carabinieri, agenti di polizia, guardie di finanza, vigili del fuoco e assimilati</t>
  </si>
  <si>
    <t>verini</t>
  </si>
  <si>
    <t>venittelli</t>
  </si>
  <si>
    <t>ludovico</t>
  </si>
  <si>
    <t>vico</t>
  </si>
  <si>
    <t>vella</t>
  </si>
  <si>
    <t>vazio</t>
  </si>
  <si>
    <t>vallascas</t>
  </si>
  <si>
    <t>simone</t>
  </si>
  <si>
    <t>valiante</t>
  </si>
  <si>
    <t>valente</t>
  </si>
  <si>
    <t>vacca</t>
  </si>
  <si>
    <t>guglielmo</t>
  </si>
  <si>
    <t>vaccaro</t>
  </si>
  <si>
    <t>tancredi</t>
  </si>
  <si>
    <t>turco</t>
  </si>
  <si>
    <t>tullo</t>
  </si>
  <si>
    <t>tripiedi</t>
  </si>
  <si>
    <t>tofalo</t>
  </si>
  <si>
    <t>marietta</t>
  </si>
  <si>
    <t>tidei</t>
  </si>
  <si>
    <t>terzoni</t>
  </si>
  <si>
    <t>alessandra</t>
  </si>
  <si>
    <t>terrosi</t>
  </si>
  <si>
    <t>assunta</t>
  </si>
  <si>
    <t>tartaglione</t>
  </si>
  <si>
    <t>giacomino</t>
  </si>
  <si>
    <t>taricco</t>
  </si>
  <si>
    <t>taranto</t>
  </si>
  <si>
    <t>tabacci</t>
  </si>
  <si>
    <t>alessio</t>
  </si>
  <si>
    <t>tacconi</t>
  </si>
  <si>
    <t>squeri</t>
  </si>
  <si>
    <t>arianna</t>
  </si>
  <si>
    <t>spessotto</t>
  </si>
  <si>
    <t>speranza</t>
  </si>
  <si>
    <t>giulio cesare</t>
  </si>
  <si>
    <t>sottanelli</t>
  </si>
  <si>
    <t>francesco paolo</t>
  </si>
  <si>
    <t>sisto</t>
  </si>
  <si>
    <t>sgambato</t>
  </si>
  <si>
    <t>senaldi</t>
  </si>
  <si>
    <t>rosanna</t>
  </si>
  <si>
    <t>scopelliti</t>
  </si>
  <si>
    <t>professioni non altrove classificabili</t>
  </si>
  <si>
    <t>gea</t>
  </si>
  <si>
    <t>schirò</t>
  </si>
  <si>
    <t>manfred</t>
  </si>
  <si>
    <t>schullian</t>
  </si>
  <si>
    <t>gian piero</t>
  </si>
  <si>
    <t>scanu</t>
  </si>
  <si>
    <t>sbrollini</t>
  </si>
  <si>
    <t>scagliusi</t>
  </si>
  <si>
    <t>elvira</t>
  </si>
  <si>
    <t>savino</t>
  </si>
  <si>
    <t>giulia</t>
  </si>
  <si>
    <t>sarti</t>
  </si>
  <si>
    <t>sarro</t>
  </si>
  <si>
    <t>milena</t>
  </si>
  <si>
    <t>santerini</t>
  </si>
  <si>
    <t>jole</t>
  </si>
  <si>
    <t>santelli</t>
  </si>
  <si>
    <t>sanna</t>
  </si>
  <si>
    <t>arcangelo</t>
  </si>
  <si>
    <t>sannicandro</t>
  </si>
  <si>
    <t>sanga</t>
  </si>
  <si>
    <t>gianfranco</t>
  </si>
  <si>
    <t>sammarco</t>
  </si>
  <si>
    <t>barbara</t>
  </si>
  <si>
    <t>saltamartini</t>
  </si>
  <si>
    <t>carla</t>
  </si>
  <si>
    <t>ruocco</t>
  </si>
  <si>
    <t>rughetti</t>
  </si>
  <si>
    <t>rotta</t>
  </si>
  <si>
    <t>gessica</t>
  </si>
  <si>
    <t>rostellato</t>
  </si>
  <si>
    <t>rostan</t>
  </si>
  <si>
    <t>rossomando</t>
  </si>
  <si>
    <t>informazioni complete: pubblica tutti i quadri della dichiarazione dei redditi; valutazione basata sulla dichiarazione depositata al ministero, la versione per il parlamento è parziale</t>
  </si>
  <si>
    <t>ettore</t>
  </si>
  <si>
    <t>rosato</t>
  </si>
  <si>
    <t>rondini</t>
  </si>
  <si>
    <t>paolo niccolò</t>
  </si>
  <si>
    <t>francesco saverio</t>
  </si>
  <si>
    <t>eugenia maria</t>
  </si>
  <si>
    <t>roccella</t>
  </si>
  <si>
    <t>rizzo</t>
  </si>
  <si>
    <t>rizzetto</t>
  </si>
  <si>
    <t>rigoni</t>
  </si>
  <si>
    <t>richetti</t>
  </si>
  <si>
    <t>lara</t>
  </si>
  <si>
    <t>ricciatti</t>
  </si>
  <si>
    <t>ribaudo</t>
  </si>
  <si>
    <t>ermete</t>
  </si>
  <si>
    <t>realacci</t>
  </si>
  <si>
    <t>ravetto</t>
  </si>
  <si>
    <t>michele</t>
  </si>
  <si>
    <t>ragosta</t>
  </si>
  <si>
    <t>fausto</t>
  </si>
  <si>
    <t>raciti</t>
  </si>
  <si>
    <t>mariano</t>
  </si>
  <si>
    <t>rabino</t>
  </si>
  <si>
    <t>giuseppe stefano</t>
  </si>
  <si>
    <t>quintarelli</t>
  </si>
  <si>
    <t>quaranta</t>
  </si>
  <si>
    <t>aris</t>
  </si>
  <si>
    <t>prodani</t>
  </si>
  <si>
    <t>lia</t>
  </si>
  <si>
    <t>quartapelle procopio</t>
  </si>
  <si>
    <t>prina</t>
  </si>
  <si>
    <t>ernesto</t>
  </si>
  <si>
    <t>preziosi</t>
  </si>
  <si>
    <t>stefania</t>
  </si>
  <si>
    <t>prestigiacomo</t>
  </si>
  <si>
    <t>prataviera</t>
  </si>
  <si>
    <t>giacomo antonio</t>
  </si>
  <si>
    <t>portas</t>
  </si>
  <si>
    <t>catia</t>
  </si>
  <si>
    <t>polidori</t>
  </si>
  <si>
    <t>renata</t>
  </si>
  <si>
    <t>polverini</t>
  </si>
  <si>
    <t>albrecht</t>
  </si>
  <si>
    <t>plangger</t>
  </si>
  <si>
    <t>placido</t>
  </si>
  <si>
    <t>piso</t>
  </si>
  <si>
    <t>piras</t>
  </si>
  <si>
    <t>giuditta</t>
  </si>
  <si>
    <t>pini</t>
  </si>
  <si>
    <t>pinna</t>
  </si>
  <si>
    <t>pili</t>
  </si>
  <si>
    <t>piccone</t>
  </si>
  <si>
    <t>piccolo</t>
  </si>
  <si>
    <t>flavia</t>
  </si>
  <si>
    <t>piccoli nardelli</t>
  </si>
  <si>
    <t>teresa</t>
  </si>
  <si>
    <t>piccione</t>
  </si>
  <si>
    <t>petrenga</t>
  </si>
  <si>
    <t>petraroli</t>
  </si>
  <si>
    <t>caterina</t>
  </si>
  <si>
    <t>pes</t>
  </si>
  <si>
    <t>vinicio giuseppe guido</t>
  </si>
  <si>
    <t>peluffo</t>
  </si>
  <si>
    <t>serena</t>
  </si>
  <si>
    <t>pellegrino</t>
  </si>
  <si>
    <t>pelillo</t>
  </si>
  <si>
    <t>edoardo</t>
  </si>
  <si>
    <t>patriarca</t>
  </si>
  <si>
    <t>oreste</t>
  </si>
  <si>
    <t>pastorelli</t>
  </si>
  <si>
    <t>pastorino</t>
  </si>
  <si>
    <t>parrini</t>
  </si>
  <si>
    <t>parisi</t>
  </si>
  <si>
    <t>parentela</t>
  </si>
  <si>
    <t>elio massimo</t>
  </si>
  <si>
    <t>palmizio</t>
  </si>
  <si>
    <t>palmieri</t>
  </si>
  <si>
    <t>palma</t>
  </si>
  <si>
    <t>palese</t>
  </si>
  <si>
    <t>anna lucia lisa</t>
  </si>
  <si>
    <t>pannarale</t>
  </si>
  <si>
    <t>paglia</t>
  </si>
  <si>
    <t>orfini</t>
  </si>
  <si>
    <t>oliaro</t>
  </si>
  <si>
    <t>nuti</t>
  </si>
  <si>
    <t>nesi</t>
  </si>
  <si>
    <t>settimo</t>
  </si>
  <si>
    <t>nizzi</t>
  </si>
  <si>
    <t>dalila</t>
  </si>
  <si>
    <t>nesci</t>
  </si>
  <si>
    <t>narduolo</t>
  </si>
  <si>
    <t>martina</t>
  </si>
  <si>
    <t>nardi</t>
  </si>
  <si>
    <t>delia</t>
  </si>
  <si>
    <t>murer</t>
  </si>
  <si>
    <t>romina</t>
  </si>
  <si>
    <t>mura</t>
  </si>
  <si>
    <t>mucci</t>
  </si>
  <si>
    <t>morassut</t>
  </si>
  <si>
    <t>giovanni carlo francesco</t>
  </si>
  <si>
    <t>mottola</t>
  </si>
  <si>
    <t>morani</t>
  </si>
  <si>
    <t>montroni</t>
  </si>
  <si>
    <t>monchiero</t>
  </si>
  <si>
    <t>molteni</t>
  </si>
  <si>
    <t>antonino</t>
  </si>
  <si>
    <t>moscatt</t>
  </si>
  <si>
    <t>monaco</t>
  </si>
  <si>
    <t>molea</t>
  </si>
  <si>
    <t>mognato</t>
  </si>
  <si>
    <t>misuraca</t>
  </si>
  <si>
    <t>misiani</t>
  </si>
  <si>
    <t>anna margherita</t>
  </si>
  <si>
    <t>miotto</t>
  </si>
  <si>
    <t>emiliano</t>
  </si>
  <si>
    <t>minnucci</t>
  </si>
  <si>
    <t>lorena</t>
  </si>
  <si>
    <t>milanato</t>
  </si>
  <si>
    <t>minardo</t>
  </si>
  <si>
    <t>gennaro</t>
  </si>
  <si>
    <t>migliore</t>
  </si>
  <si>
    <t>micillo</t>
  </si>
  <si>
    <t>miccoli</t>
  </si>
  <si>
    <t>michele pompeo</t>
  </si>
  <si>
    <t>meta</t>
  </si>
  <si>
    <t>riccardo antonio</t>
  </si>
  <si>
    <t>merlo</t>
  </si>
  <si>
    <t>giovanni (gianni)</t>
  </si>
  <si>
    <t>farina</t>
  </si>
  <si>
    <t>giorgia</t>
  </si>
  <si>
    <t>meloni</t>
  </si>
  <si>
    <t>fdi</t>
  </si>
  <si>
    <t>fabio</t>
  </si>
  <si>
    <t>melilli</t>
  </si>
  <si>
    <t>mazzoli</t>
  </si>
  <si>
    <t>mazziotti di celso</t>
  </si>
  <si>
    <t>mattiello</t>
  </si>
  <si>
    <t>mauri</t>
  </si>
  <si>
    <t>matarrese</t>
  </si>
  <si>
    <t>matarrelli</t>
  </si>
  <si>
    <t>massa</t>
  </si>
  <si>
    <t>maria michela</t>
  </si>
  <si>
    <t>marzano</t>
  </si>
  <si>
    <t>marzana</t>
  </si>
  <si>
    <t>martino</t>
  </si>
  <si>
    <t>fedi</t>
  </si>
  <si>
    <t>martella</t>
  </si>
  <si>
    <t>umberto</t>
  </si>
  <si>
    <t>marroni</t>
  </si>
  <si>
    <t>siro</t>
  </si>
  <si>
    <t>marrocu</t>
  </si>
  <si>
    <t>marotta</t>
  </si>
  <si>
    <t>raffaella</t>
  </si>
  <si>
    <t>mariani</t>
  </si>
  <si>
    <t>marcon</t>
  </si>
  <si>
    <t>maino</t>
  </si>
  <si>
    <t>marchi</t>
  </si>
  <si>
    <t>marcolin</t>
  </si>
  <si>
    <t>marchetti</t>
  </si>
  <si>
    <t>irene</t>
  </si>
  <si>
    <t>manzi</t>
  </si>
  <si>
    <t>claudia</t>
  </si>
  <si>
    <t>mannino</t>
  </si>
  <si>
    <t>massimiliano</t>
  </si>
  <si>
    <t>manfredi</t>
  </si>
  <si>
    <t>simona flavia</t>
  </si>
  <si>
    <t>malpezzi</t>
  </si>
  <si>
    <t>manciulli</t>
  </si>
  <si>
    <t>gianna</t>
  </si>
  <si>
    <t>malisani</t>
  </si>
  <si>
    <t>maietta</t>
  </si>
  <si>
    <t>magorno</t>
  </si>
  <si>
    <t>maria anna</t>
  </si>
  <si>
    <t>madia</t>
  </si>
  <si>
    <t>lupo</t>
  </si>
  <si>
    <t>marialucia</t>
  </si>
  <si>
    <t>lorefice</t>
  </si>
  <si>
    <t>lorenzin</t>
  </si>
  <si>
    <t>lombardi</t>
  </si>
  <si>
    <t>piero</t>
  </si>
  <si>
    <t>lodolini</t>
  </si>
  <si>
    <t>pia elda</t>
  </si>
  <si>
    <t>locatelli</t>
  </si>
  <si>
    <t>carmelo</t>
  </si>
  <si>
    <t>lo monte</t>
  </si>
  <si>
    <t>mirella</t>
  </si>
  <si>
    <t>librandi</t>
  </si>
  <si>
    <t>letta</t>
  </si>
  <si>
    <t>lavagno</t>
  </si>
  <si>
    <t>lauricella</t>
  </si>
  <si>
    <t>enzo</t>
  </si>
  <si>
    <t>lattuca</t>
  </si>
  <si>
    <t>latronico</t>
  </si>
  <si>
    <t>lainati</t>
  </si>
  <si>
    <t>laforgia</t>
  </si>
  <si>
    <t>laffranco</t>
  </si>
  <si>
    <t>lacquaniti</t>
  </si>
  <si>
    <t>vincenza</t>
  </si>
  <si>
    <t>labriola</t>
  </si>
  <si>
    <t>casalinghe</t>
  </si>
  <si>
    <t>l'abbate</t>
  </si>
  <si>
    <t>la marca</t>
  </si>
  <si>
    <t>florian</t>
  </si>
  <si>
    <t>kronbichler</t>
  </si>
  <si>
    <t>cristian</t>
  </si>
  <si>
    <t>invernizzi</t>
  </si>
  <si>
    <t>antonella</t>
  </si>
  <si>
    <t>incerti</t>
  </si>
  <si>
    <t>leonardo</t>
  </si>
  <si>
    <t>impegno</t>
  </si>
  <si>
    <t>iacono</t>
  </si>
  <si>
    <t>guido</t>
  </si>
  <si>
    <t>guidesi</t>
  </si>
  <si>
    <t>maria tindara</t>
  </si>
  <si>
    <t>gullo</t>
  </si>
  <si>
    <t>guerini</t>
  </si>
  <si>
    <t>grimoldi</t>
  </si>
  <si>
    <t>grillo</t>
  </si>
  <si>
    <t>gribaudo</t>
  </si>
  <si>
    <t>gregori</t>
  </si>
  <si>
    <t>maria gaetana</t>
  </si>
  <si>
    <t>greco</t>
  </si>
  <si>
    <t>marta</t>
  </si>
  <si>
    <t>grande</t>
  </si>
  <si>
    <t>gozi</t>
  </si>
  <si>
    <t>maria luisa</t>
  </si>
  <si>
    <t>gnecchi</t>
  </si>
  <si>
    <t>giampiero</t>
  </si>
  <si>
    <t>giulietti</t>
  </si>
  <si>
    <t>fabrizia</t>
  </si>
  <si>
    <t>giuliani</t>
  </si>
  <si>
    <t>giorgis</t>
  </si>
  <si>
    <t>giorgetti</t>
  </si>
  <si>
    <t>silvia</t>
  </si>
  <si>
    <t>giordano</t>
  </si>
  <si>
    <t>tommaso</t>
  </si>
  <si>
    <t>ginoble</t>
  </si>
  <si>
    <t>ginato</t>
  </si>
  <si>
    <t>gabriella</t>
  </si>
  <si>
    <t>giammanco</t>
  </si>
  <si>
    <t>giachetti</t>
  </si>
  <si>
    <t>francantonio</t>
  </si>
  <si>
    <t>genovese</t>
  </si>
  <si>
    <t>renate</t>
  </si>
  <si>
    <t>gebhard</t>
  </si>
  <si>
    <t>garofani</t>
  </si>
  <si>
    <t>garofalo</t>
  </si>
  <si>
    <t>garnero santanchè</t>
  </si>
  <si>
    <t>garavini</t>
  </si>
  <si>
    <t>gallo afflitto</t>
  </si>
  <si>
    <t>galperti</t>
  </si>
  <si>
    <t>gallo</t>
  </si>
  <si>
    <t>giampaolo</t>
  </si>
  <si>
    <t>adriana eden susanna</t>
  </si>
  <si>
    <t>galgano</t>
  </si>
  <si>
    <t>galan</t>
  </si>
  <si>
    <t>gagnarli</t>
  </si>
  <si>
    <t>fusilli</t>
  </si>
  <si>
    <t>furnari</t>
  </si>
  <si>
    <t>benedetto francesco</t>
  </si>
  <si>
    <t>fucci</t>
  </si>
  <si>
    <t>frusone</t>
  </si>
  <si>
    <t>fregolent</t>
  </si>
  <si>
    <t>franceschini</t>
  </si>
  <si>
    <t>gian mario</t>
  </si>
  <si>
    <t>fragomeli</t>
  </si>
  <si>
    <t>fratoianni</t>
  </si>
  <si>
    <t>fossati</t>
  </si>
  <si>
    <t>fraccaro</t>
  </si>
  <si>
    <t>aniello</t>
  </si>
  <si>
    <t>formisano</t>
  </si>
  <si>
    <t>fontanelli</t>
  </si>
  <si>
    <t>gregorio</t>
  </si>
  <si>
    <t>fontana</t>
  </si>
  <si>
    <t>fioroni</t>
  </si>
  <si>
    <t>fiorio</t>
  </si>
  <si>
    <t>fico</t>
  </si>
  <si>
    <t>ferro</t>
  </si>
  <si>
    <t>alan</t>
  </si>
  <si>
    <t>ferrari</t>
  </si>
  <si>
    <t>ferraresi</t>
  </si>
  <si>
    <t>mattia</t>
  </si>
  <si>
    <t>fantinati</t>
  </si>
  <si>
    <t>falcone</t>
  </si>
  <si>
    <t>informazioni parziali: nel modello cud manca la pagina con le annotazioni; la dichiarazione elettorale è assente</t>
  </si>
  <si>
    <t>marilena</t>
  </si>
  <si>
    <t>donati</t>
  </si>
  <si>
    <t>duranti</t>
  </si>
  <si>
    <t>distaso</t>
  </si>
  <si>
    <t>dieni</t>
  </si>
  <si>
    <t>di vita</t>
  </si>
  <si>
    <t>manlio</t>
  </si>
  <si>
    <t>di stefano</t>
  </si>
  <si>
    <t>di maio</t>
  </si>
  <si>
    <t>di lello</t>
  </si>
  <si>
    <t>di benedetto</t>
  </si>
  <si>
    <t>di battista</t>
  </si>
  <si>
    <t>dellai</t>
  </si>
  <si>
    <t>ivan</t>
  </si>
  <si>
    <t>della valle</t>
  </si>
  <si>
    <t>teresa maria (titti)</t>
  </si>
  <si>
    <t>di salvo</t>
  </si>
  <si>
    <t>dell'orco</t>
  </si>
  <si>
    <t>dell'aringa</t>
  </si>
  <si>
    <t>de mita</t>
  </si>
  <si>
    <t>massimo felice</t>
  </si>
  <si>
    <t>de rosa</t>
  </si>
  <si>
    <t>roger</t>
  </si>
  <si>
    <t>de menech</t>
  </si>
  <si>
    <t>de maria</t>
  </si>
  <si>
    <t>de girolamo</t>
  </si>
  <si>
    <t>cesare</t>
  </si>
  <si>
    <t>damiano</t>
  </si>
  <si>
    <t>dambruoso</t>
  </si>
  <si>
    <t>dall'osso</t>
  </si>
  <si>
    <t>gian pietro</t>
  </si>
  <si>
    <t>dal moro</t>
  </si>
  <si>
    <t>dallai</t>
  </si>
  <si>
    <t>daga</t>
  </si>
  <si>
    <t>fabiana</t>
  </si>
  <si>
    <t>dadone</t>
  </si>
  <si>
    <t>da villa</t>
  </si>
  <si>
    <t>d'uva</t>
  </si>
  <si>
    <t>d'incà</t>
  </si>
  <si>
    <t>d'attorre</t>
  </si>
  <si>
    <t>d'arienzo</t>
  </si>
  <si>
    <t>d'alia</t>
  </si>
  <si>
    <t>informazioni aggiuntive: pubblica anche la dichiarazione dei redditi completa del coniuge e la dichiarazione di successione</t>
  </si>
  <si>
    <t>d'alessandro</t>
  </si>
  <si>
    <t>currò</t>
  </si>
  <si>
    <t>angelo antonio</t>
  </si>
  <si>
    <t>d'agostino</t>
  </si>
  <si>
    <t>magda</t>
  </si>
  <si>
    <t>culotta</t>
  </si>
  <si>
    <t>cuperlo</t>
  </si>
  <si>
    <t>crivellari</t>
  </si>
  <si>
    <t>crippa</t>
  </si>
  <si>
    <t>covello</t>
  </si>
  <si>
    <t>celestina</t>
  </si>
  <si>
    <t>costantino</t>
  </si>
  <si>
    <t>coscia</t>
  </si>
  <si>
    <t>cominardi</t>
  </si>
  <si>
    <t>colletti</t>
  </si>
  <si>
    <t>civati</t>
  </si>
  <si>
    <t>edmondo</t>
  </si>
  <si>
    <t>cirielli</t>
  </si>
  <si>
    <t>eleonora</t>
  </si>
  <si>
    <t>cimbro</t>
  </si>
  <si>
    <t>cimmino</t>
  </si>
  <si>
    <t>cicchitto</t>
  </si>
  <si>
    <t>chimienti</t>
  </si>
  <si>
    <t>gianfranco giovanni</t>
  </si>
  <si>
    <t>chiarelli</t>
  </si>
  <si>
    <t>khalid</t>
  </si>
  <si>
    <t>chaouki</t>
  </si>
  <si>
    <t>antimo</t>
  </si>
  <si>
    <t>cesaro</t>
  </si>
  <si>
    <t>centemero</t>
  </si>
  <si>
    <t>achille</t>
  </si>
  <si>
    <t>totaro</t>
  </si>
  <si>
    <t>cariello</t>
  </si>
  <si>
    <t>tinagli</t>
  </si>
  <si>
    <t>bellot</t>
  </si>
  <si>
    <t>ginefra</t>
  </si>
  <si>
    <t>leva</t>
  </si>
  <si>
    <t>sberna</t>
  </si>
  <si>
    <t>caleo</t>
  </si>
  <si>
    <t>fabiola</t>
  </si>
  <si>
    <t>anitori</t>
  </si>
  <si>
    <t>eva</t>
  </si>
  <si>
    <t>vilma</t>
  </si>
  <si>
    <t>moronese</t>
  </si>
  <si>
    <t>emilia grazia</t>
  </si>
  <si>
    <t>de biasi</t>
  </si>
  <si>
    <t>nitto francesco</t>
  </si>
  <si>
    <t>velo</t>
  </si>
  <si>
    <t>marti</t>
  </si>
  <si>
    <t>pierdomenico</t>
  </si>
  <si>
    <t>informazioni parziali: pubblica solo il quadro di riepilogo della dichiarazione dei redditi: si rifiuta di pubblicare l'aggiornamento della situazione patrimoniale e reddituale</t>
  </si>
  <si>
    <t>manzione</t>
  </si>
  <si>
    <t>marisa</t>
  </si>
  <si>
    <t>nicchi</t>
  </si>
  <si>
    <t>erasmo</t>
  </si>
  <si>
    <t>palazzotto</t>
  </si>
  <si>
    <t>colaninno</t>
  </si>
  <si>
    <t>costa</t>
  </si>
  <si>
    <t>censore</t>
  </si>
  <si>
    <t>cecconi</t>
  </si>
  <si>
    <t>causin</t>
  </si>
  <si>
    <t>causi</t>
  </si>
  <si>
    <t>catalano</t>
  </si>
  <si>
    <t>catania</t>
  </si>
  <si>
    <t>castiello</t>
  </si>
  <si>
    <t>castelli</t>
  </si>
  <si>
    <t>caso</t>
  </si>
  <si>
    <t>casero</t>
  </si>
  <si>
    <t>floriana</t>
  </si>
  <si>
    <t>casellato</t>
  </si>
  <si>
    <t>ezio primo</t>
  </si>
  <si>
    <t>casati</t>
  </si>
  <si>
    <t>carra</t>
  </si>
  <si>
    <t>carnevali</t>
  </si>
  <si>
    <t>carloni</t>
  </si>
  <si>
    <t>carinelli</t>
  </si>
  <si>
    <t>capua</t>
  </si>
  <si>
    <t>sabrina</t>
  </si>
  <si>
    <t>capozzolo</t>
  </si>
  <si>
    <t>capone</t>
  </si>
  <si>
    <t>capezzone</t>
  </si>
  <si>
    <t>capelli</t>
  </si>
  <si>
    <t>caparini</t>
  </si>
  <si>
    <t>cani</t>
  </si>
  <si>
    <t>azzurra pia maria</t>
  </si>
  <si>
    <t>cancelleri</t>
  </si>
  <si>
    <t>micaela</t>
  </si>
  <si>
    <t>campana</t>
  </si>
  <si>
    <t>vanessa</t>
  </si>
  <si>
    <t>camani</t>
  </si>
  <si>
    <t>calabrò</t>
  </si>
  <si>
    <t>annagrazia</t>
  </si>
  <si>
    <t>giovanni mario salvino</t>
  </si>
  <si>
    <t>burtone</t>
  </si>
  <si>
    <t>bueno eitelwein</t>
  </si>
  <si>
    <t>michela vittoria</t>
  </si>
  <si>
    <t>brambilla</t>
  </si>
  <si>
    <t>bosco</t>
  </si>
  <si>
    <t>borghi</t>
  </si>
  <si>
    <t>borghesi</t>
  </si>
  <si>
    <t>borghese</t>
  </si>
  <si>
    <t>brugnerotto</t>
  </si>
  <si>
    <t>bonifazi</t>
  </si>
  <si>
    <t>fulvio</t>
  </si>
  <si>
    <t>bonavitacola</t>
  </si>
  <si>
    <t>boccuzzi</t>
  </si>
  <si>
    <t>bini</t>
  </si>
  <si>
    <t>lorenza</t>
  </si>
  <si>
    <t>bonaccorsi</t>
  </si>
  <si>
    <t>sandro mario</t>
  </si>
  <si>
    <t>biasotti</t>
  </si>
  <si>
    <t>bernardo</t>
  </si>
  <si>
    <t>bergonzi</t>
  </si>
  <si>
    <t>deborah</t>
  </si>
  <si>
    <t>bergamini</t>
  </si>
  <si>
    <t>benamati</t>
  </si>
  <si>
    <t>benedetti</t>
  </si>
  <si>
    <t>bechis</t>
  </si>
  <si>
    <t>bazoli</t>
  </si>
  <si>
    <t>battelli</t>
  </si>
  <si>
    <t>tatiana</t>
  </si>
  <si>
    <t>basilio</t>
  </si>
  <si>
    <t>baruffi</t>
  </si>
  <si>
    <t>bargero</t>
  </si>
  <si>
    <t>baldelli</t>
  </si>
  <si>
    <t>sebastiano</t>
  </si>
  <si>
    <t>barbanti</t>
  </si>
  <si>
    <t>baldassarre</t>
  </si>
  <si>
    <t>attaguile</t>
  </si>
  <si>
    <t>artini</t>
  </si>
  <si>
    <t>tiziano</t>
  </si>
  <si>
    <t>arlotti</t>
  </si>
  <si>
    <t>ileana</t>
  </si>
  <si>
    <t>argentin</t>
  </si>
  <si>
    <t>archi</t>
  </si>
  <si>
    <t>anzaldi</t>
  </si>
  <si>
    <t>antezza</t>
  </si>
  <si>
    <t>amendola</t>
  </si>
  <si>
    <t>angelucci</t>
  </si>
  <si>
    <t>sofia</t>
  </si>
  <si>
    <t>amoddio</t>
  </si>
  <si>
    <t>allasia</t>
  </si>
  <si>
    <t>daniel</t>
  </si>
  <si>
    <t>alfreider</t>
  </si>
  <si>
    <t>amato</t>
  </si>
  <si>
    <t>ignazio</t>
  </si>
  <si>
    <t>abrignani</t>
  </si>
  <si>
    <t>bratti</t>
  </si>
  <si>
    <t>bolognesi</t>
  </si>
  <si>
    <t>rampi</t>
  </si>
  <si>
    <t>gasparini</t>
  </si>
  <si>
    <t>bossi</t>
  </si>
  <si>
    <t>piergiorgio</t>
  </si>
  <si>
    <t>carrescia</t>
  </si>
  <si>
    <t>petrini</t>
  </si>
  <si>
    <t>scalfarotto</t>
  </si>
  <si>
    <t>luisella</t>
  </si>
  <si>
    <t>albanella</t>
  </si>
  <si>
    <t>carrozza</t>
  </si>
  <si>
    <t>sani</t>
  </si>
  <si>
    <t>david</t>
  </si>
  <si>
    <t>ermini</t>
  </si>
  <si>
    <t>fanucci</t>
  </si>
  <si>
    <t>yoram itzhak</t>
  </si>
  <si>
    <t>gutgeld</t>
  </si>
  <si>
    <t>d'ottavio</t>
  </si>
  <si>
    <t>picchi</t>
  </si>
  <si>
    <t>trifone</t>
  </si>
  <si>
    <t>altieri</t>
  </si>
  <si>
    <t>malan</t>
  </si>
  <si>
    <t>divina</t>
  </si>
  <si>
    <t>cappelletti</t>
  </si>
  <si>
    <t>maria teresa</t>
  </si>
  <si>
    <t>bertuzzi</t>
  </si>
  <si>
    <t>sangalli</t>
  </si>
  <si>
    <t>altero</t>
  </si>
  <si>
    <t>matteoli</t>
  </si>
  <si>
    <t>fazzone</t>
  </si>
  <si>
    <t>grasso</t>
  </si>
  <si>
    <t>angelica</t>
  </si>
  <si>
    <t>saggese</t>
  </si>
  <si>
    <t>corradino</t>
  </si>
  <si>
    <t>mineo</t>
  </si>
  <si>
    <t>angioni</t>
  </si>
  <si>
    <t>manconi</t>
  </si>
  <si>
    <t>riccarco giuseppe</t>
  </si>
  <si>
    <t>mazzoni</t>
  </si>
  <si>
    <t>ferranti</t>
  </si>
  <si>
    <t>ghizzoni</t>
  </si>
  <si>
    <t>nastri</t>
  </si>
  <si>
    <t>barani</t>
  </si>
  <si>
    <t>esposito</t>
  </si>
  <si>
    <t>lezzi</t>
  </si>
  <si>
    <t>puglisi</t>
  </si>
  <si>
    <t>guido walter cesare</t>
  </si>
  <si>
    <t>viceconte</t>
  </si>
  <si>
    <t>cosimo maria</t>
  </si>
  <si>
    <t>ferri</t>
  </si>
  <si>
    <t>informazioni parziali: la dichiarazione patrimoniale è assente</t>
  </si>
  <si>
    <t>giuseppe (peppe)</t>
  </si>
  <si>
    <t>de cristofaro</t>
  </si>
  <si>
    <t>pollastrini</t>
  </si>
  <si>
    <t>becattini</t>
  </si>
  <si>
    <t>salvatore (salvo)</t>
  </si>
  <si>
    <t>torrisi</t>
  </si>
  <si>
    <t>airaudo</t>
  </si>
  <si>
    <t>castiglione</t>
  </si>
  <si>
    <t>informazioni aggiuntive: pubblica anche la dichiarazione dei redditi completa del coniuge; valutazione basata sulla dichiarazione depositata al ministero, la versione per il parlamento è parziale</t>
  </si>
  <si>
    <t>vega</t>
  </si>
  <si>
    <t>colonnese</t>
  </si>
  <si>
    <t>valentina</t>
  </si>
  <si>
    <t>paris</t>
  </si>
  <si>
    <t>la russa</t>
  </si>
  <si>
    <t>vecchio</t>
  </si>
  <si>
    <t>martinelli</t>
  </si>
  <si>
    <t>tiziana</t>
  </si>
  <si>
    <t>ciprini</t>
  </si>
  <si>
    <t>ileana cathia</t>
  </si>
  <si>
    <t>piazzoni</t>
  </si>
  <si>
    <t>caruso</t>
  </si>
  <si>
    <t>cera</t>
  </si>
  <si>
    <t>romanini</t>
  </si>
  <si>
    <t>arrigoni</t>
  </si>
  <si>
    <t>cociancich</t>
  </si>
  <si>
    <t>bisinella</t>
  </si>
  <si>
    <t>bencini</t>
  </si>
  <si>
    <t>di giorgi</t>
  </si>
  <si>
    <t>serenella</t>
  </si>
  <si>
    <t>fucksia</t>
  </si>
  <si>
    <t>pezzopane</t>
  </si>
  <si>
    <t>razzi</t>
  </si>
  <si>
    <t>antonio stefano</t>
  </si>
  <si>
    <t>caridi</t>
  </si>
  <si>
    <t>lionello marco</t>
  </si>
  <si>
    <t>pagnoncelli</t>
  </si>
  <si>
    <t>pizzolante</t>
  </si>
  <si>
    <t>samuele</t>
  </si>
  <si>
    <t>segoni</t>
  </si>
  <si>
    <t>sereni</t>
  </si>
  <si>
    <t>ettore guglielmo</t>
  </si>
  <si>
    <t>epifani</t>
  </si>
  <si>
    <t>de vincenti</t>
  </si>
  <si>
    <t>rotondi</t>
  </si>
  <si>
    <t>luisa</t>
  </si>
  <si>
    <t>bossa</t>
  </si>
  <si>
    <t>francesco detto ciccio</t>
  </si>
  <si>
    <t>maria edera</t>
  </si>
  <si>
    <t>spadoni</t>
  </si>
  <si>
    <t>fedriga</t>
  </si>
  <si>
    <t>giovanni claudio</t>
  </si>
  <si>
    <t>fava</t>
  </si>
  <si>
    <t>pesco</t>
  </si>
  <si>
    <t>miriam</t>
  </si>
  <si>
    <t>cominelli</t>
  </si>
  <si>
    <t>faenzi</t>
  </si>
  <si>
    <t>nicoletti</t>
  </si>
  <si>
    <t>zardini</t>
  </si>
  <si>
    <t>simonetta</t>
  </si>
  <si>
    <t>rubinato</t>
  </si>
  <si>
    <t>porta</t>
  </si>
  <si>
    <t>corsaro</t>
  </si>
  <si>
    <t>daniele gaetano</t>
  </si>
  <si>
    <t>borioli</t>
  </si>
  <si>
    <t>luis alberto</t>
  </si>
  <si>
    <t>orellana</t>
  </si>
  <si>
    <t>de poli</t>
  </si>
  <si>
    <t>filippin</t>
  </si>
  <si>
    <t>molinari</t>
  </si>
  <si>
    <t>alicata</t>
  </si>
  <si>
    <t>emilio</t>
  </si>
  <si>
    <t>floris</t>
  </si>
  <si>
    <t>pier ferdinando</t>
  </si>
  <si>
    <t>casini</t>
  </si>
  <si>
    <t>simona</t>
  </si>
  <si>
    <t>vicari</t>
  </si>
  <si>
    <t>arturo</t>
  </si>
  <si>
    <t>scotto</t>
  </si>
  <si>
    <t>girolamo</t>
  </si>
  <si>
    <t>pisano</t>
  </si>
  <si>
    <t>donata</t>
  </si>
  <si>
    <t>lenzi</t>
  </si>
  <si>
    <t>pagani</t>
  </si>
  <si>
    <t>zanin</t>
  </si>
  <si>
    <t>gian luigi</t>
  </si>
  <si>
    <t>gigli</t>
  </si>
  <si>
    <t>carbone</t>
  </si>
  <si>
    <t>marantelli</t>
  </si>
  <si>
    <t>romele</t>
  </si>
  <si>
    <t>gitti</t>
  </si>
  <si>
    <t>scuvera</t>
  </si>
  <si>
    <t>zolezzi</t>
  </si>
  <si>
    <t>losacco</t>
  </si>
  <si>
    <t>piepoli</t>
  </si>
  <si>
    <t>simoni</t>
  </si>
  <si>
    <t>rocchi</t>
  </si>
  <si>
    <t>antonello</t>
  </si>
  <si>
    <t>giacomelli</t>
  </si>
  <si>
    <t>gelli</t>
  </si>
  <si>
    <t>gallinella</t>
  </si>
  <si>
    <t>folino</t>
  </si>
  <si>
    <t>fassina</t>
  </si>
  <si>
    <t>sestino</t>
  </si>
  <si>
    <t>giacomoni</t>
  </si>
  <si>
    <t>ottobre</t>
  </si>
  <si>
    <t>crimì</t>
  </si>
  <si>
    <t>moretto</t>
  </si>
  <si>
    <t>valentino</t>
  </si>
  <si>
    <t>valentini</t>
  </si>
  <si>
    <t>fauttilli</t>
  </si>
  <si>
    <t>cinzia maria</t>
  </si>
  <si>
    <t>elio</t>
  </si>
  <si>
    <t>rampelli</t>
  </si>
  <si>
    <t>marcello</t>
  </si>
  <si>
    <t>taglialatela</t>
  </si>
  <si>
    <t>boccia</t>
  </si>
  <si>
    <t>tea</t>
  </si>
  <si>
    <t>albini</t>
  </si>
  <si>
    <t>simonetti</t>
  </si>
  <si>
    <t>occhiuto</t>
  </si>
  <si>
    <t>bignami</t>
  </si>
  <si>
    <t>casaletto</t>
  </si>
  <si>
    <t>silvana andreina</t>
  </si>
  <si>
    <t>comaroli</t>
  </si>
  <si>
    <t>fravezzi</t>
  </si>
  <si>
    <t>palermo</t>
  </si>
  <si>
    <t>de pin</t>
  </si>
  <si>
    <t>gianni pietro</t>
  </si>
  <si>
    <t>girotto</t>
  </si>
  <si>
    <t>erika</t>
  </si>
  <si>
    <t>stefani</t>
  </si>
  <si>
    <t>albano</t>
  </si>
  <si>
    <t>collina</t>
  </si>
  <si>
    <t>pelino</t>
  </si>
  <si>
    <t>perrone</t>
  </si>
  <si>
    <t>mario michele</t>
  </si>
  <si>
    <t>giarrusso</t>
  </si>
  <si>
    <t>lumia</t>
  </si>
  <si>
    <t>ruvolo</t>
  </si>
  <si>
    <t>aracri</t>
  </si>
  <si>
    <t>gualdani</t>
  </si>
  <si>
    <t>azzolini</t>
  </si>
  <si>
    <t>marcucci</t>
  </si>
  <si>
    <t>bertacco</t>
  </si>
  <si>
    <t>informazioni parziali: pubblica solo il quadro di riepilogo della dichiarazione dei redditi; la   dichiarazione elettorale è assente</t>
  </si>
  <si>
    <t>maria elena</t>
  </si>
  <si>
    <t>boschi</t>
  </si>
  <si>
    <t>maurizio enzo</t>
  </si>
  <si>
    <t>lupi</t>
  </si>
  <si>
    <t>bubbico</t>
  </si>
  <si>
    <t>informazioni aggiuntive: pubblica anche la dichiarazione dei redditi completa del coniuge;  valutazione basata sulla dichiarazione depositata al ministero, la versione per il parlamento è   parziale</t>
  </si>
  <si>
    <t>nencini</t>
  </si>
  <si>
    <t>pd, psi</t>
  </si>
  <si>
    <t>bellanova</t>
  </si>
  <si>
    <t>del basso de caro</t>
  </si>
  <si>
    <t>faraone</t>
  </si>
  <si>
    <t>pier luigi</t>
  </si>
  <si>
    <t>bersani</t>
  </si>
  <si>
    <t>biancofiore</t>
  </si>
  <si>
    <t>franca maria grazia</t>
  </si>
  <si>
    <t>biondelli</t>
  </si>
  <si>
    <t>bocci</t>
  </si>
  <si>
    <t>mirko</t>
  </si>
  <si>
    <t>busto</t>
  </si>
  <si>
    <t>buttiglione</t>
  </si>
  <si>
    <t>susanna</t>
  </si>
  <si>
    <t>cenni</t>
  </si>
  <si>
    <t>cozzolino</t>
  </si>
  <si>
    <t>di gioia</t>
  </si>
  <si>
    <t>galati</t>
  </si>
  <si>
    <t>vanna</t>
  </si>
  <si>
    <t>iori</t>
  </si>
  <si>
    <t>marazziti</t>
  </si>
  <si>
    <t>rudi franco</t>
  </si>
  <si>
    <t>marguerettaz</t>
  </si>
  <si>
    <t>remigio</t>
  </si>
  <si>
    <t>ceroni</t>
  </si>
  <si>
    <t>giannini</t>
  </si>
  <si>
    <t>degani</t>
  </si>
  <si>
    <t>informazioni aggiuntive: pubblica anche la dichiarazione dei redditi completa del coniuge e dei familiari</t>
  </si>
  <si>
    <t>angelino</t>
  </si>
  <si>
    <t>gentiloni silveri</t>
  </si>
  <si>
    <t>informazioni aggiuntive: pubblica anche la dichiarazione dei redditi completa del coniuge; valutazione basata sulla dichiarazione depositata al ministero, la versione per il parlamento è completa</t>
  </si>
  <si>
    <t>renato</t>
  </si>
  <si>
    <t>brunetta</t>
  </si>
  <si>
    <t>maria teresa (sesa)</t>
  </si>
  <si>
    <t>amici</t>
  </si>
  <si>
    <t>domenico (marco)</t>
  </si>
  <si>
    <t>minniti</t>
  </si>
  <si>
    <t>informazioni aggiuntive: pubblica anche la dichiarazione dei redditi completa del coniuge e dei familiari; valutazione basata sulla dichiarazione depositata al ministero, nella versione pubblicata dal parlamento mancano le informazioni sui familiari</t>
  </si>
  <si>
    <t>gianclaudio</t>
  </si>
  <si>
    <t>bressa</t>
  </si>
  <si>
    <t>informazioni aggiuntive: pubblica anche le dichiarazioni dei redditi complete dei familiari; valutazione basata sulla dichiarazione depositata al ministero, la versione per il parlamento è parziale</t>
  </si>
  <si>
    <t>Summary statistics:</t>
  </si>
  <si>
    <t>Mean:</t>
  </si>
  <si>
    <t>Median:</t>
  </si>
  <si>
    <t>Mid Range:</t>
  </si>
  <si>
    <t>Standard Deviation:</t>
  </si>
  <si>
    <t>IQR:</t>
  </si>
  <si>
    <t>MAD:</t>
  </si>
  <si>
    <t>Range:</t>
  </si>
  <si>
    <t>Frequency distribution logarithmic table:</t>
  </si>
  <si>
    <t>log(totale_730_dichiarante)</t>
  </si>
  <si>
    <t>Min Log:</t>
  </si>
  <si>
    <t>Max Log:</t>
  </si>
  <si>
    <t>Frequency:</t>
  </si>
  <si>
    <t>Upper Bound of Bin:</t>
  </si>
  <si>
    <t>∞</t>
  </si>
  <si>
    <t>Bin:</t>
  </si>
  <si>
    <t>0 - 3,2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</si>
</sst>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€-410]_-;\-* #,##0.00\ [$€-410]_-;_-* &quot;-&quot;??\ [$€-410]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Font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of 730 Declared</a:t>
            </a:r>
            <a:r>
              <a:rPr lang="en-US" baseline="0"/>
              <a:t> Bins</a:t>
            </a:r>
            <a:r>
              <a:rPr lang="en-US"/>
              <a:t>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Tasks!$C$14</c:f>
              <c:strCache>
                <c:ptCount val="1"/>
                <c:pt idx="0">
                  <c:v>Frequency: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Tasks!$B$15:$B$28</c:f>
              <c:strCache>
                <c:ptCount val="14"/>
                <c:pt idx="0">
                  <c:v>0 - 3,2</c:v>
                </c:pt>
                <c:pt idx="1">
                  <c:v>3,2 - 3,5</c:v>
                </c:pt>
                <c:pt idx="2">
                  <c:v>3,5 - 3,8</c:v>
                </c:pt>
                <c:pt idx="3">
                  <c:v>3,8 - 4,1</c:v>
                </c:pt>
                <c:pt idx="4">
                  <c:v>4,1 - 4,4</c:v>
                </c:pt>
                <c:pt idx="5">
                  <c:v>4,4 - 4,7</c:v>
                </c:pt>
                <c:pt idx="6">
                  <c:v>4,7 - 5</c:v>
                </c:pt>
                <c:pt idx="7">
                  <c:v>5 - 5,3</c:v>
                </c:pt>
                <c:pt idx="8">
                  <c:v>5,3 - 5,6</c:v>
                </c:pt>
                <c:pt idx="9">
                  <c:v>5,6 - 5,9</c:v>
                </c:pt>
                <c:pt idx="10">
                  <c:v>5,9 - 6,2</c:v>
                </c:pt>
                <c:pt idx="11">
                  <c:v>6,2 - 6,5</c:v>
                </c:pt>
                <c:pt idx="12">
                  <c:v>6,5 - 6,8</c:v>
                </c:pt>
                <c:pt idx="13">
                  <c:v>6,8 - ∞</c:v>
                </c:pt>
              </c:strCache>
            </c:strRef>
          </c:cat>
          <c:val>
            <c:numRef>
              <c:f>Tasks!$C$15:$C$28</c:f>
              <c:numCache>
                <c:formatCode>General</c:formatCode>
                <c:ptCount val="1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9</c:v>
                </c:pt>
                <c:pt idx="6">
                  <c:v>516</c:v>
                </c:pt>
                <c:pt idx="7">
                  <c:v>356</c:v>
                </c:pt>
                <c:pt idx="8">
                  <c:v>46</c:v>
                </c:pt>
                <c:pt idx="9">
                  <c:v>12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C-4770-A2D2-175B36C7B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7677008"/>
        <c:axId val="1707660688"/>
      </c:barChart>
      <c:catAx>
        <c:axId val="170767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7660688"/>
        <c:crosses val="autoZero"/>
        <c:auto val="1"/>
        <c:lblAlgn val="ctr"/>
        <c:lblOffset val="100"/>
        <c:noMultiLvlLbl val="0"/>
      </c:catAx>
      <c:valAx>
        <c:axId val="170766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0767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171450</xdr:rowOff>
    </xdr:from>
    <xdr:to>
      <xdr:col>13</xdr:col>
      <xdr:colOff>144780</xdr:colOff>
      <xdr:row>27</xdr:row>
      <xdr:rowOff>175260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2D884E2-642D-A66B-5AF8-BC32AB447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eo Camastra" id="{C7F6186A-3C68-433C-95B5-4ADED9BD296F}" userId="33f9c57ebe65d29a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44D2227-5A64-4E53-AE71-29F2C5BEF640}" autoFormatId="16" applyNumberFormats="0" applyBorderFormats="0" applyFontFormats="0" applyPatternFormats="0" applyAlignmentFormats="0" applyWidthHeightFormats="0">
  <queryTableRefresh nextId="22" unboundColumnsRight="1">
    <queryTableFields count="21">
      <queryTableField id="1" name="openpolis_id" tableColumnId="1"/>
      <queryTableField id="2" name="nome" tableColumnId="2"/>
      <queryTableField id="3" name="cognome" tableColumnId="3"/>
      <queryTableField id="4" name="data_nascita" tableColumnId="4"/>
      <queryTableField id="5" name="professione" tableColumnId="5"/>
      <queryTableField id="6" name="incarichi" tableColumnId="6"/>
      <queryTableField id="7" name="lista di elezione/partito" tableColumnId="7"/>
      <queryTableField id="8" name="gruppo parlamentare" tableColumnId="8"/>
      <queryTableField id="9" name="circoscrizione di elezione" tableColumnId="9"/>
      <queryTableField id="10" name="totale_730_dichiarante" tableColumnId="10"/>
      <queryTableField id="11" name="totale_730_coniuge" tableColumnId="11"/>
      <queryTableField id="12" name="totale_contributi_elettorali" tableColumnId="12"/>
      <queryTableField id="13" name="totale_spese_elettorali" tableColumnId="13"/>
      <queryTableField id="14" name="indice_completezza" tableColumnId="14"/>
      <queryTableField id="15" name="note_completezza" tableColumnId="15"/>
      <queryTableField id="16" name="numero fabbricati" tableColumnId="16"/>
      <queryTableField id="17" name="numero terreni" tableColumnId="17"/>
      <queryTableField id="18" name="numero beni mobili" tableColumnId="18"/>
      <queryTableField id="19" name="numero di partecipazioni (azioni/quote) in società" tableColumnId="19"/>
      <queryTableField id="20" name="numero di incarichi di amministratore di società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AA2FA-895E-429D-8FF0-739EE4835319}" name="openpolis_patrimoni_trasparenti_anno_2014" displayName="openpolis_patrimoni_trasparenti_anno_2014" ref="A1:U961" tableType="queryTable" totalsRowShown="0">
  <autoFilter ref="A1:U961" xr:uid="{0F2AA2FA-895E-429D-8FF0-739EE4835319}"/>
  <tableColumns count="21">
    <tableColumn id="1" xr3:uid="{E29F9225-4E40-4D99-9782-73B47B27B207}" uniqueName="1" name="openpolis_id" queryTableFieldId="1"/>
    <tableColumn id="2" xr3:uid="{031727EC-8F78-4CC4-9A84-AD9AAC723405}" uniqueName="2" name="nome" queryTableFieldId="2" dataDxfId="9"/>
    <tableColumn id="3" xr3:uid="{7A7926C3-953B-4AEA-A79C-64D0CE00D7D8}" uniqueName="3" name="cognome" queryTableFieldId="3" dataDxfId="8"/>
    <tableColumn id="4" xr3:uid="{900231EB-5593-4732-A0B8-04A754D33785}" uniqueName="4" name="data_nascita" queryTableFieldId="4" dataDxfId="7"/>
    <tableColumn id="5" xr3:uid="{4229B0F6-AAF7-4A56-A037-AFBA30D33E7B}" uniqueName="5" name="professione" queryTableFieldId="5" dataDxfId="6"/>
    <tableColumn id="6" xr3:uid="{64013567-12B6-471E-8894-ACFA04BD04F4}" uniqueName="6" name="incarichi" queryTableFieldId="6" dataDxfId="5"/>
    <tableColumn id="7" xr3:uid="{66EB609E-6DBF-4BA2-AAAB-9EE1ED2FB20F}" uniqueName="7" name="lista di elezione/partito" queryTableFieldId="7" dataDxfId="4"/>
    <tableColumn id="8" xr3:uid="{E2AD0430-743A-4D7C-A60E-95F937CC3C07}" uniqueName="8" name="gruppo parlamentare" queryTableFieldId="8" dataDxfId="3"/>
    <tableColumn id="9" xr3:uid="{D95B61E3-32DF-4478-9A6C-A82C18528662}" uniqueName="9" name="circoscrizione di elezione" queryTableFieldId="9" dataDxfId="2"/>
    <tableColumn id="10" xr3:uid="{D17E99DE-3C47-40EA-A3C7-4A1F2AE439E0}" uniqueName="10" name="totale_730_dichiarante" queryTableFieldId="10"/>
    <tableColumn id="11" xr3:uid="{8F1ECF87-1FDB-47B7-B945-8400AC539CF7}" uniqueName="11" name="totale_730_coniuge" queryTableFieldId="11"/>
    <tableColumn id="12" xr3:uid="{7C8824BA-711E-4B2D-B8DD-009715BA8F9B}" uniqueName="12" name="totale_contributi_elettorali" queryTableFieldId="12"/>
    <tableColumn id="13" xr3:uid="{2B84A9F9-4BAC-41B1-B01E-572D77F717E3}" uniqueName="13" name="totale_spese_elettorali" queryTableFieldId="13"/>
    <tableColumn id="14" xr3:uid="{C51FEB3E-525B-40CC-B605-A3CEEA191443}" uniqueName="14" name="indice_completezza" queryTableFieldId="14"/>
    <tableColumn id="15" xr3:uid="{9D3CE1FB-9568-4EEA-A887-CBFAF2562CFA}" uniqueName="15" name="note_completezza" queryTableFieldId="15" dataDxfId="1"/>
    <tableColumn id="16" xr3:uid="{B21105CF-5761-4400-B478-28F8012C57A3}" uniqueName="16" name="numero fabbricati" queryTableFieldId="16"/>
    <tableColumn id="17" xr3:uid="{4DCA2B61-8851-4636-8006-E9EF07779C6E}" uniqueName="17" name="numero terreni" queryTableFieldId="17"/>
    <tableColumn id="18" xr3:uid="{DD458D24-171F-4661-8B9C-A478F7629B4F}" uniqueName="18" name="numero beni mobili" queryTableFieldId="18"/>
    <tableColumn id="19" xr3:uid="{11A3AA33-B80F-45AF-BB75-B7EDC38C5754}" uniqueName="19" name="numero di partecipazioni (azioni/quote) in società" queryTableFieldId="19"/>
    <tableColumn id="20" xr3:uid="{E9D275F2-A83E-435F-AF6C-86D1C1434D68}" uniqueName="20" name="numero di incarichi di amministratore di società" queryTableFieldId="20"/>
    <tableColumn id="21" xr3:uid="{B5DD9998-39AB-42EA-A3C6-5A762212EFAF}" uniqueName="21" name="log(totale_730_dichiarante)" queryTableFieldId="21" dataDxfId="0">
      <calculatedColumnFormula>IF(openpolis_patrimoni_trasparenti_anno_2014[[#This Row],[totale_730_dichiarante]]&lt;&gt;0,LOG10(openpolis_patrimoni_trasparenti_anno_2014[[#This Row],[totale_730_dichiarante]]),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6-03-10T11:22:06.64" personId="{C7F6186A-3C68-433C-95B5-4ADED9BD296F}" id="{008CC48F-BE42-475C-B924-F3BE2A52CDCB}">
    <text>The data shows a strongly right-skewed distribution:
Minimum: €1,743
Median: €98,471
Mean: €143,551
Maximum: €5,355,604
90% of parliamentarians declare less than €178,000, but a very long tail extends beyond €5 million. With linear intervals (e.g., every €500,000), almost all data points would fall into the first bin, making the chart unreadable. With a logarithmic scale, the data distributes evenly across bins.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A9A3-820E-4975-AF0B-68402620EA5B}">
  <dimension ref="A1:U961"/>
  <sheetViews>
    <sheetView topLeftCell="I821" zoomScale="85" zoomScaleNormal="85" workbookViewId="0">
      <selection activeCell="U824" sqref="U824"/>
    </sheetView>
  </sheetViews>
  <sheetFormatPr defaultRowHeight="14.4" x14ac:dyDescent="0.3"/>
  <cols>
    <col min="1" max="1" width="13.88671875" bestFit="1" customWidth="1"/>
    <col min="2" max="2" width="22" bestFit="1" customWidth="1"/>
    <col min="3" max="3" width="21.33203125" bestFit="1" customWidth="1"/>
    <col min="4" max="4" width="13.88671875" bestFit="1" customWidth="1"/>
    <col min="5" max="5" width="60.109375" bestFit="1" customWidth="1"/>
    <col min="6" max="6" width="14.5546875" bestFit="1" customWidth="1"/>
    <col min="7" max="7" width="22.77734375" bestFit="1" customWidth="1"/>
    <col min="8" max="8" width="22" bestFit="1" customWidth="1"/>
    <col min="9" max="9" width="27.88671875" bestFit="1" customWidth="1"/>
    <col min="10" max="10" width="22.44140625" bestFit="1" customWidth="1"/>
    <col min="11" max="11" width="19.21875" bestFit="1" customWidth="1"/>
    <col min="12" max="12" width="25.88671875" bestFit="1" customWidth="1"/>
    <col min="13" max="13" width="22.44140625" bestFit="1" customWidth="1"/>
    <col min="14" max="14" width="20.21875" bestFit="1" customWidth="1"/>
    <col min="15" max="15" width="80.88671875" bestFit="1" customWidth="1"/>
    <col min="16" max="16" width="18.21875" bestFit="1" customWidth="1"/>
    <col min="17" max="17" width="15.5546875" bestFit="1" customWidth="1"/>
    <col min="18" max="18" width="19.5546875" bestFit="1" customWidth="1"/>
    <col min="19" max="19" width="45.33203125" bestFit="1" customWidth="1"/>
    <col min="20" max="20" width="43.77734375" bestFit="1" customWidth="1"/>
    <col min="21" max="21" width="4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1474</v>
      </c>
    </row>
    <row r="2" spans="1:21" x14ac:dyDescent="0.3">
      <c r="A2">
        <v>1651</v>
      </c>
      <c r="B2" s="1" t="s">
        <v>20</v>
      </c>
      <c r="C2" s="1" t="s">
        <v>21</v>
      </c>
      <c r="D2" s="2">
        <v>18536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>
        <v>0</v>
      </c>
      <c r="K2">
        <v>0</v>
      </c>
      <c r="L2">
        <v>0</v>
      </c>
      <c r="M2">
        <v>0</v>
      </c>
      <c r="N2">
        <v>3</v>
      </c>
      <c r="O2" s="1" t="s">
        <v>26</v>
      </c>
      <c r="P2">
        <v>0</v>
      </c>
      <c r="Q2">
        <v>0</v>
      </c>
      <c r="R2">
        <v>0</v>
      </c>
      <c r="S2">
        <v>0</v>
      </c>
      <c r="T2">
        <v>0</v>
      </c>
      <c r="U2">
        <f>IF(openpolis_patrimoni_trasparenti_anno_2014[[#This Row],[totale_730_dichiarante]]&lt;&gt;0,LOG10(openpolis_patrimoni_trasparenti_anno_2014[[#This Row],[totale_730_dichiarante]]), 0)</f>
        <v>0</v>
      </c>
    </row>
    <row r="3" spans="1:21" x14ac:dyDescent="0.3">
      <c r="A3">
        <v>686273</v>
      </c>
      <c r="B3" s="1" t="s">
        <v>27</v>
      </c>
      <c r="C3" s="1" t="s">
        <v>28</v>
      </c>
      <c r="D3" s="2">
        <v>19790</v>
      </c>
      <c r="E3" s="1" t="s">
        <v>29</v>
      </c>
      <c r="F3" s="1" t="s">
        <v>30</v>
      </c>
      <c r="G3" s="1" t="s">
        <v>24</v>
      </c>
      <c r="H3" s="1" t="s">
        <v>24</v>
      </c>
      <c r="I3" s="1" t="s">
        <v>31</v>
      </c>
      <c r="J3" s="3">
        <v>88807</v>
      </c>
      <c r="K3">
        <v>0</v>
      </c>
      <c r="L3">
        <v>0</v>
      </c>
      <c r="M3">
        <v>0</v>
      </c>
      <c r="N3">
        <v>3</v>
      </c>
      <c r="O3" s="1" t="s">
        <v>32</v>
      </c>
      <c r="P3">
        <v>5</v>
      </c>
      <c r="Q3">
        <v>0</v>
      </c>
      <c r="R3">
        <v>2</v>
      </c>
      <c r="S3">
        <v>0</v>
      </c>
      <c r="T3">
        <v>1</v>
      </c>
      <c r="U3">
        <f>IF(openpolis_patrimoni_trasparenti_anno_2014[[#This Row],[totale_730_dichiarante]]&lt;&gt;0,LOG10(openpolis_patrimoni_trasparenti_anno_2014[[#This Row],[totale_730_dichiarante]]), 0)</f>
        <v>4.9484471993546979</v>
      </c>
    </row>
    <row r="4" spans="1:21" x14ac:dyDescent="0.3">
      <c r="A4">
        <v>283</v>
      </c>
      <c r="B4" s="1" t="s">
        <v>33</v>
      </c>
      <c r="C4" s="1" t="s">
        <v>34</v>
      </c>
      <c r="D4" s="2">
        <v>23348</v>
      </c>
      <c r="E4" s="1" t="s">
        <v>35</v>
      </c>
      <c r="F4" s="1" t="s">
        <v>30</v>
      </c>
      <c r="G4" s="1" t="s">
        <v>36</v>
      </c>
      <c r="H4" s="1" t="s">
        <v>37</v>
      </c>
      <c r="I4" s="1" t="s">
        <v>38</v>
      </c>
      <c r="J4">
        <v>99328</v>
      </c>
      <c r="K4">
        <v>0</v>
      </c>
      <c r="L4">
        <v>0</v>
      </c>
      <c r="M4">
        <v>0</v>
      </c>
      <c r="N4">
        <v>3</v>
      </c>
      <c r="O4" s="1" t="s">
        <v>32</v>
      </c>
      <c r="P4">
        <v>3</v>
      </c>
      <c r="Q4">
        <v>0</v>
      </c>
      <c r="R4">
        <v>3</v>
      </c>
      <c r="S4">
        <v>1</v>
      </c>
      <c r="T4">
        <v>0</v>
      </c>
      <c r="U4">
        <f>IF(openpolis_patrimoni_trasparenti_anno_2014[[#This Row],[totale_730_dichiarante]]&lt;&gt;0,LOG10(openpolis_patrimoni_trasparenti_anno_2014[[#This Row],[totale_730_dichiarante]]), 0)</f>
        <v>4.9970716909060569</v>
      </c>
    </row>
    <row r="5" spans="1:21" x14ac:dyDescent="0.3">
      <c r="A5">
        <v>8249</v>
      </c>
      <c r="B5" s="1" t="s">
        <v>39</v>
      </c>
      <c r="C5" s="1" t="s">
        <v>40</v>
      </c>
      <c r="D5" s="2">
        <v>21855</v>
      </c>
      <c r="E5" s="1" t="s">
        <v>41</v>
      </c>
      <c r="F5" s="1" t="s">
        <v>30</v>
      </c>
      <c r="G5" s="1" t="s">
        <v>24</v>
      </c>
      <c r="H5" s="1" t="s">
        <v>24</v>
      </c>
      <c r="I5" s="1" t="s">
        <v>42</v>
      </c>
      <c r="J5">
        <v>201698</v>
      </c>
      <c r="K5">
        <v>0</v>
      </c>
      <c r="L5">
        <v>0</v>
      </c>
      <c r="M5">
        <v>0</v>
      </c>
      <c r="N5">
        <v>2</v>
      </c>
      <c r="O5" s="1" t="s">
        <v>43</v>
      </c>
      <c r="P5">
        <v>2</v>
      </c>
      <c r="Q5">
        <v>2</v>
      </c>
      <c r="R5">
        <v>2</v>
      </c>
      <c r="S5">
        <v>1</v>
      </c>
      <c r="T5">
        <v>0</v>
      </c>
      <c r="U5">
        <f>IF(openpolis_patrimoni_trasparenti_anno_2014[[#This Row],[totale_730_dichiarante]]&lt;&gt;0,LOG10(openpolis_patrimoni_trasparenti_anno_2014[[#This Row],[totale_730_dichiarante]]), 0)</f>
        <v>5.3047015918504936</v>
      </c>
    </row>
    <row r="6" spans="1:21" x14ac:dyDescent="0.3">
      <c r="A6">
        <v>686691</v>
      </c>
      <c r="B6" s="1" t="s">
        <v>44</v>
      </c>
      <c r="C6" s="1" t="s">
        <v>45</v>
      </c>
      <c r="D6" s="2">
        <v>19732</v>
      </c>
      <c r="E6" s="1" t="s">
        <v>35</v>
      </c>
      <c r="F6" s="1" t="s">
        <v>30</v>
      </c>
      <c r="G6" s="1" t="s">
        <v>24</v>
      </c>
      <c r="H6" s="1" t="s">
        <v>24</v>
      </c>
      <c r="I6" s="1" t="s">
        <v>46</v>
      </c>
      <c r="J6">
        <v>96797</v>
      </c>
      <c r="K6">
        <v>0</v>
      </c>
      <c r="L6">
        <v>0</v>
      </c>
      <c r="M6">
        <v>0</v>
      </c>
      <c r="N6">
        <v>3</v>
      </c>
      <c r="O6" s="1" t="s">
        <v>32</v>
      </c>
      <c r="P6">
        <v>0</v>
      </c>
      <c r="Q6">
        <v>0</v>
      </c>
      <c r="R6">
        <v>1</v>
      </c>
      <c r="S6">
        <v>1</v>
      </c>
      <c r="T6">
        <v>2</v>
      </c>
      <c r="U6">
        <f>IF(openpolis_patrimoni_trasparenti_anno_2014[[#This Row],[totale_730_dichiarante]]&lt;&gt;0,LOG10(openpolis_patrimoni_trasparenti_anno_2014[[#This Row],[totale_730_dichiarante]]), 0)</f>
        <v>4.9858618975600937</v>
      </c>
    </row>
    <row r="7" spans="1:21" x14ac:dyDescent="0.3">
      <c r="A7">
        <v>313306</v>
      </c>
      <c r="B7" s="1" t="s">
        <v>47</v>
      </c>
      <c r="C7" s="1" t="s">
        <v>48</v>
      </c>
      <c r="D7" s="2">
        <v>18849</v>
      </c>
      <c r="E7" s="1" t="s">
        <v>49</v>
      </c>
      <c r="F7" s="1" t="s">
        <v>30</v>
      </c>
      <c r="G7" s="1" t="s">
        <v>24</v>
      </c>
      <c r="H7" s="1" t="s">
        <v>24</v>
      </c>
      <c r="I7" s="1" t="s">
        <v>50</v>
      </c>
      <c r="J7">
        <v>95906</v>
      </c>
      <c r="K7">
        <v>0</v>
      </c>
      <c r="L7">
        <v>0</v>
      </c>
      <c r="M7">
        <v>0</v>
      </c>
      <c r="N7">
        <v>3</v>
      </c>
      <c r="O7" s="1" t="s">
        <v>32</v>
      </c>
      <c r="P7">
        <v>1</v>
      </c>
      <c r="Q7">
        <v>0</v>
      </c>
      <c r="R7">
        <v>3</v>
      </c>
      <c r="S7">
        <v>1</v>
      </c>
      <c r="T7">
        <v>0</v>
      </c>
      <c r="U7">
        <f>IF(openpolis_patrimoni_trasparenti_anno_2014[[#This Row],[totale_730_dichiarante]]&lt;&gt;0,LOG10(openpolis_patrimoni_trasparenti_anno_2014[[#This Row],[totale_730_dichiarante]]), 0)</f>
        <v>4.9818457780296805</v>
      </c>
    </row>
    <row r="8" spans="1:21" x14ac:dyDescent="0.3">
      <c r="A8">
        <v>345364</v>
      </c>
      <c r="B8" s="1" t="s">
        <v>51</v>
      </c>
      <c r="C8" s="1" t="s">
        <v>52</v>
      </c>
      <c r="D8" s="2">
        <v>23353</v>
      </c>
      <c r="E8" s="1" t="s">
        <v>35</v>
      </c>
      <c r="F8" s="1" t="s">
        <v>30</v>
      </c>
      <c r="G8" s="1" t="s">
        <v>53</v>
      </c>
      <c r="H8" s="1" t="s">
        <v>54</v>
      </c>
      <c r="I8" s="1" t="s">
        <v>55</v>
      </c>
      <c r="J8">
        <v>83206</v>
      </c>
      <c r="K8">
        <v>0</v>
      </c>
      <c r="L8">
        <v>0</v>
      </c>
      <c r="M8">
        <v>0</v>
      </c>
      <c r="N8">
        <v>3</v>
      </c>
      <c r="O8" s="1" t="s">
        <v>32</v>
      </c>
      <c r="P8">
        <v>1</v>
      </c>
      <c r="Q8">
        <v>0</v>
      </c>
      <c r="R8">
        <v>2</v>
      </c>
      <c r="S8">
        <v>2</v>
      </c>
      <c r="T8">
        <v>2</v>
      </c>
      <c r="U8">
        <f>IF(openpolis_patrimoni_trasparenti_anno_2014[[#This Row],[totale_730_dichiarante]]&lt;&gt;0,LOG10(openpolis_patrimoni_trasparenti_anno_2014[[#This Row],[totale_730_dichiarante]]), 0)</f>
        <v>4.9201546444750752</v>
      </c>
    </row>
    <row r="9" spans="1:21" x14ac:dyDescent="0.3">
      <c r="A9">
        <v>4876</v>
      </c>
      <c r="B9" s="1" t="s">
        <v>56</v>
      </c>
      <c r="C9" s="1" t="s">
        <v>57</v>
      </c>
      <c r="D9" s="2">
        <v>21419</v>
      </c>
      <c r="E9" s="1" t="s">
        <v>49</v>
      </c>
      <c r="F9" s="1" t="s">
        <v>30</v>
      </c>
      <c r="G9" s="1" t="s">
        <v>24</v>
      </c>
      <c r="H9" s="1" t="s">
        <v>24</v>
      </c>
      <c r="I9" s="1" t="s">
        <v>58</v>
      </c>
      <c r="J9">
        <v>97677</v>
      </c>
      <c r="K9">
        <v>0</v>
      </c>
      <c r="L9">
        <v>0</v>
      </c>
      <c r="M9">
        <v>0</v>
      </c>
      <c r="N9">
        <v>2</v>
      </c>
      <c r="O9" s="1" t="s">
        <v>43</v>
      </c>
      <c r="P9">
        <v>1</v>
      </c>
      <c r="Q9">
        <v>0</v>
      </c>
      <c r="R9">
        <v>1</v>
      </c>
      <c r="S9">
        <v>0</v>
      </c>
      <c r="T9">
        <v>0</v>
      </c>
      <c r="U9">
        <f>IF(openpolis_patrimoni_trasparenti_anno_2014[[#This Row],[totale_730_dichiarante]]&lt;&gt;0,LOG10(openpolis_patrimoni_trasparenti_anno_2014[[#This Row],[totale_730_dichiarante]]), 0)</f>
        <v>4.9897923124493815</v>
      </c>
    </row>
    <row r="10" spans="1:21" x14ac:dyDescent="0.3">
      <c r="A10">
        <v>687661</v>
      </c>
      <c r="B10" s="1" t="s">
        <v>59</v>
      </c>
      <c r="C10" s="1" t="s">
        <v>60</v>
      </c>
      <c r="D10" s="2">
        <v>28521</v>
      </c>
      <c r="E10" s="1" t="s">
        <v>25</v>
      </c>
      <c r="F10" s="1" t="s">
        <v>25</v>
      </c>
      <c r="G10" s="1" t="s">
        <v>25</v>
      </c>
      <c r="H10" s="1" t="s">
        <v>25</v>
      </c>
      <c r="I10" s="1" t="s">
        <v>25</v>
      </c>
      <c r="J10">
        <v>0</v>
      </c>
      <c r="K10">
        <v>0</v>
      </c>
      <c r="L10">
        <v>0</v>
      </c>
      <c r="M10">
        <v>0</v>
      </c>
      <c r="N10">
        <v>3</v>
      </c>
      <c r="O10" s="1" t="s">
        <v>61</v>
      </c>
      <c r="P10">
        <v>0</v>
      </c>
      <c r="Q10">
        <v>0</v>
      </c>
      <c r="R10">
        <v>0</v>
      </c>
      <c r="S10">
        <v>0</v>
      </c>
      <c r="T10">
        <v>0</v>
      </c>
      <c r="U10">
        <f>IF(openpolis_patrimoni_trasparenti_anno_2014[[#This Row],[totale_730_dichiarante]]&lt;&gt;0,LOG10(openpolis_patrimoni_trasparenti_anno_2014[[#This Row],[totale_730_dichiarante]]), 0)</f>
        <v>0</v>
      </c>
    </row>
    <row r="11" spans="1:21" x14ac:dyDescent="0.3">
      <c r="A11">
        <v>495096</v>
      </c>
      <c r="B11" s="1" t="s">
        <v>44</v>
      </c>
      <c r="C11" s="1" t="s">
        <v>62</v>
      </c>
      <c r="D11" s="2">
        <v>22741</v>
      </c>
      <c r="E11" s="1" t="s">
        <v>63</v>
      </c>
      <c r="F11" s="1" t="s">
        <v>30</v>
      </c>
      <c r="G11" s="1" t="s">
        <v>24</v>
      </c>
      <c r="H11" s="1" t="s">
        <v>24</v>
      </c>
      <c r="I11" s="1" t="s">
        <v>64</v>
      </c>
      <c r="J11">
        <v>134207</v>
      </c>
      <c r="K11">
        <v>0</v>
      </c>
      <c r="L11">
        <v>0</v>
      </c>
      <c r="M11">
        <v>0</v>
      </c>
      <c r="N11">
        <v>3</v>
      </c>
      <c r="O11" s="1" t="s">
        <v>32</v>
      </c>
      <c r="P11">
        <v>5</v>
      </c>
      <c r="Q11">
        <v>7</v>
      </c>
      <c r="R11">
        <v>1</v>
      </c>
      <c r="S11">
        <v>3</v>
      </c>
      <c r="T11">
        <v>0</v>
      </c>
      <c r="U11">
        <f>IF(openpolis_patrimoni_trasparenti_anno_2014[[#This Row],[totale_730_dichiarante]]&lt;&gt;0,LOG10(openpolis_patrimoni_trasparenti_anno_2014[[#This Row],[totale_730_dichiarante]]), 0)</f>
        <v>5.1277751684565933</v>
      </c>
    </row>
    <row r="12" spans="1:21" x14ac:dyDescent="0.3">
      <c r="A12">
        <v>67</v>
      </c>
      <c r="B12" s="1" t="s">
        <v>65</v>
      </c>
      <c r="C12" s="1" t="s">
        <v>66</v>
      </c>
      <c r="D12" s="2">
        <v>20555</v>
      </c>
      <c r="E12" s="1" t="s">
        <v>41</v>
      </c>
      <c r="F12" s="1" t="s">
        <v>67</v>
      </c>
      <c r="G12" s="1" t="s">
        <v>25</v>
      </c>
      <c r="H12" s="1" t="s">
        <v>68</v>
      </c>
      <c r="I12" s="1" t="s">
        <v>69</v>
      </c>
      <c r="J12">
        <v>95872</v>
      </c>
      <c r="K12">
        <v>0</v>
      </c>
      <c r="L12">
        <v>0</v>
      </c>
      <c r="M12">
        <v>0</v>
      </c>
      <c r="N12">
        <v>3</v>
      </c>
      <c r="O12" s="1" t="s">
        <v>32</v>
      </c>
      <c r="P12">
        <v>5</v>
      </c>
      <c r="Q12">
        <v>2</v>
      </c>
      <c r="R12">
        <v>1</v>
      </c>
      <c r="S12">
        <v>0</v>
      </c>
      <c r="T12">
        <v>0</v>
      </c>
      <c r="U12">
        <f>IF(openpolis_patrimoni_trasparenti_anno_2014[[#This Row],[totale_730_dichiarante]]&lt;&gt;0,LOG10(openpolis_patrimoni_trasparenti_anno_2014[[#This Row],[totale_730_dichiarante]]), 0)</f>
        <v>4.9816917873473345</v>
      </c>
    </row>
    <row r="13" spans="1:21" x14ac:dyDescent="0.3">
      <c r="A13">
        <v>447</v>
      </c>
      <c r="B13" s="1" t="s">
        <v>70</v>
      </c>
      <c r="C13" s="1" t="s">
        <v>71</v>
      </c>
      <c r="D13" s="2">
        <v>26846</v>
      </c>
      <c r="E13" s="1" t="s">
        <v>41</v>
      </c>
      <c r="F13" s="1" t="s">
        <v>30</v>
      </c>
      <c r="G13" s="1" t="s">
        <v>36</v>
      </c>
      <c r="H13" s="1" t="s">
        <v>37</v>
      </c>
      <c r="I13" s="1" t="s">
        <v>72</v>
      </c>
      <c r="J13">
        <v>108691</v>
      </c>
      <c r="K13">
        <v>0</v>
      </c>
      <c r="L13">
        <v>0</v>
      </c>
      <c r="M13">
        <v>0</v>
      </c>
      <c r="N13">
        <v>3</v>
      </c>
      <c r="O13" s="1" t="s">
        <v>32</v>
      </c>
      <c r="P13">
        <v>6</v>
      </c>
      <c r="Q13">
        <v>0</v>
      </c>
      <c r="R13">
        <v>2</v>
      </c>
      <c r="S13">
        <v>0</v>
      </c>
      <c r="T13">
        <v>2</v>
      </c>
      <c r="U13">
        <f>IF(openpolis_patrimoni_trasparenti_anno_2014[[#This Row],[totale_730_dichiarante]]&lt;&gt;0,LOG10(openpolis_patrimoni_trasparenti_anno_2014[[#This Row],[totale_730_dichiarante]]), 0)</f>
        <v>5.0361935844528292</v>
      </c>
    </row>
    <row r="14" spans="1:21" x14ac:dyDescent="0.3">
      <c r="A14">
        <v>90393</v>
      </c>
      <c r="B14" s="1" t="s">
        <v>73</v>
      </c>
      <c r="C14" s="1" t="s">
        <v>74</v>
      </c>
      <c r="D14" s="2">
        <v>20481</v>
      </c>
      <c r="E14" s="1" t="s">
        <v>75</v>
      </c>
      <c r="F14" s="1" t="s">
        <v>30</v>
      </c>
      <c r="G14" s="1" t="s">
        <v>24</v>
      </c>
      <c r="H14" s="1" t="s">
        <v>24</v>
      </c>
      <c r="I14" s="1" t="s">
        <v>76</v>
      </c>
      <c r="J14">
        <v>169389</v>
      </c>
      <c r="K14">
        <v>0</v>
      </c>
      <c r="L14">
        <v>0</v>
      </c>
      <c r="M14">
        <v>0</v>
      </c>
      <c r="N14">
        <v>3</v>
      </c>
      <c r="O14" s="1" t="s">
        <v>32</v>
      </c>
      <c r="P14">
        <v>11</v>
      </c>
      <c r="Q14">
        <v>0</v>
      </c>
      <c r="R14">
        <v>1</v>
      </c>
      <c r="S14">
        <v>1</v>
      </c>
      <c r="T14">
        <v>1</v>
      </c>
      <c r="U14">
        <f>IF(openpolis_patrimoni_trasparenti_anno_2014[[#This Row],[totale_730_dichiarante]]&lt;&gt;0,LOG10(openpolis_patrimoni_trasparenti_anno_2014[[#This Row],[totale_730_dichiarante]]), 0)</f>
        <v>5.22888520413865</v>
      </c>
    </row>
    <row r="15" spans="1:21" x14ac:dyDescent="0.3">
      <c r="A15">
        <v>241499</v>
      </c>
      <c r="B15" s="1" t="s">
        <v>77</v>
      </c>
      <c r="C15" s="1" t="s">
        <v>78</v>
      </c>
      <c r="D15" s="2">
        <v>26404</v>
      </c>
      <c r="E15" s="1" t="s">
        <v>49</v>
      </c>
      <c r="F15" s="1" t="s">
        <v>23</v>
      </c>
      <c r="G15" s="1" t="s">
        <v>79</v>
      </c>
      <c r="H15" s="1" t="s">
        <v>25</v>
      </c>
      <c r="I15" s="1" t="s">
        <v>25</v>
      </c>
      <c r="J15">
        <v>118744</v>
      </c>
      <c r="K15">
        <v>18207</v>
      </c>
      <c r="L15">
        <v>0</v>
      </c>
      <c r="M15">
        <v>0</v>
      </c>
      <c r="N15">
        <v>3</v>
      </c>
      <c r="O15" s="1" t="s">
        <v>80</v>
      </c>
      <c r="P15">
        <v>4</v>
      </c>
      <c r="Q15">
        <v>0</v>
      </c>
      <c r="R15">
        <v>0</v>
      </c>
      <c r="S15">
        <v>2</v>
      </c>
      <c r="T15">
        <v>0</v>
      </c>
      <c r="U15">
        <f>IF(openpolis_patrimoni_trasparenti_anno_2014[[#This Row],[totale_730_dichiarante]]&lt;&gt;0,LOG10(openpolis_patrimoni_trasparenti_anno_2014[[#This Row],[totale_730_dichiarante]]), 0)</f>
        <v>5.0746116744423899</v>
      </c>
    </row>
    <row r="16" spans="1:21" x14ac:dyDescent="0.3">
      <c r="A16">
        <v>686942</v>
      </c>
      <c r="B16" s="1" t="s">
        <v>81</v>
      </c>
      <c r="C16" s="1" t="s">
        <v>82</v>
      </c>
      <c r="D16" s="2">
        <v>20998</v>
      </c>
      <c r="E16" s="1" t="s">
        <v>35</v>
      </c>
      <c r="F16" s="1" t="s">
        <v>67</v>
      </c>
      <c r="G16" s="1" t="s">
        <v>25</v>
      </c>
      <c r="H16" s="1" t="s">
        <v>54</v>
      </c>
      <c r="I16" s="1" t="s">
        <v>31</v>
      </c>
      <c r="J16">
        <v>124271</v>
      </c>
      <c r="K16">
        <v>0</v>
      </c>
      <c r="L16">
        <v>0</v>
      </c>
      <c r="M16">
        <v>0</v>
      </c>
      <c r="N16">
        <v>3</v>
      </c>
      <c r="O16" s="1" t="s">
        <v>83</v>
      </c>
      <c r="P16">
        <v>5</v>
      </c>
      <c r="Q16">
        <v>0</v>
      </c>
      <c r="R16">
        <v>1</v>
      </c>
      <c r="S16">
        <v>1</v>
      </c>
      <c r="T16">
        <v>2</v>
      </c>
      <c r="U16">
        <f>IF(openpolis_patrimoni_trasparenti_anno_2014[[#This Row],[totale_730_dichiarante]]&lt;&gt;0,LOG10(openpolis_patrimoni_trasparenti_anno_2014[[#This Row],[totale_730_dichiarante]]), 0)</f>
        <v>5.0943697930873579</v>
      </c>
    </row>
    <row r="17" spans="1:21" x14ac:dyDescent="0.3">
      <c r="A17">
        <v>276866</v>
      </c>
      <c r="B17" s="1" t="s">
        <v>84</v>
      </c>
      <c r="C17" s="1" t="s">
        <v>85</v>
      </c>
      <c r="D17" s="2">
        <v>21174</v>
      </c>
      <c r="E17" s="1" t="s">
        <v>86</v>
      </c>
      <c r="F17" s="1" t="s">
        <v>30</v>
      </c>
      <c r="G17" s="1" t="s">
        <v>24</v>
      </c>
      <c r="H17" s="1" t="s">
        <v>24</v>
      </c>
      <c r="I17" s="1" t="s">
        <v>38</v>
      </c>
      <c r="J17">
        <v>90630</v>
      </c>
      <c r="K17">
        <v>15419</v>
      </c>
      <c r="L17">
        <v>0</v>
      </c>
      <c r="M17">
        <v>0</v>
      </c>
      <c r="N17">
        <v>3</v>
      </c>
      <c r="O17" s="1" t="s">
        <v>32</v>
      </c>
      <c r="P17">
        <v>2</v>
      </c>
      <c r="Q17">
        <v>0</v>
      </c>
      <c r="R17">
        <v>3</v>
      </c>
      <c r="S17">
        <v>0</v>
      </c>
      <c r="T17">
        <v>0</v>
      </c>
      <c r="U17">
        <f>IF(openpolis_patrimoni_trasparenti_anno_2014[[#This Row],[totale_730_dichiarante]]&lt;&gt;0,LOG10(openpolis_patrimoni_trasparenti_anno_2014[[#This Row],[totale_730_dichiarante]]), 0)</f>
        <v>4.9572719799929432</v>
      </c>
    </row>
    <row r="18" spans="1:21" x14ac:dyDescent="0.3">
      <c r="A18">
        <v>275037</v>
      </c>
      <c r="B18" s="1" t="s">
        <v>87</v>
      </c>
      <c r="C18" s="1" t="s">
        <v>88</v>
      </c>
      <c r="D18" s="2">
        <v>21022</v>
      </c>
      <c r="E18" s="1" t="s">
        <v>75</v>
      </c>
      <c r="F18" s="1" t="s">
        <v>30</v>
      </c>
      <c r="G18" s="1" t="s">
        <v>25</v>
      </c>
      <c r="H18" s="1" t="s">
        <v>68</v>
      </c>
      <c r="I18" s="1" t="s">
        <v>89</v>
      </c>
      <c r="J18">
        <v>95599.7</v>
      </c>
      <c r="K18">
        <v>0</v>
      </c>
      <c r="L18">
        <v>0</v>
      </c>
      <c r="M18">
        <v>0</v>
      </c>
      <c r="N18">
        <v>3</v>
      </c>
      <c r="O18" s="1" t="s">
        <v>90</v>
      </c>
      <c r="P18">
        <v>6</v>
      </c>
      <c r="Q18">
        <v>0</v>
      </c>
      <c r="R18">
        <v>1</v>
      </c>
      <c r="S18">
        <v>0</v>
      </c>
      <c r="T18">
        <v>0</v>
      </c>
      <c r="U18">
        <f>IF(openpolis_patrimoni_trasparenti_anno_2014[[#This Row],[totale_730_dichiarante]]&lt;&gt;0,LOG10(openpolis_patrimoni_trasparenti_anno_2014[[#This Row],[totale_730_dichiarante]]), 0)</f>
        <v>4.9804565294251688</v>
      </c>
    </row>
    <row r="19" spans="1:21" x14ac:dyDescent="0.3">
      <c r="A19">
        <v>1490</v>
      </c>
      <c r="B19" s="1" t="s">
        <v>91</v>
      </c>
      <c r="C19" s="1" t="s">
        <v>92</v>
      </c>
      <c r="D19" s="2">
        <v>22931</v>
      </c>
      <c r="E19" s="1" t="s">
        <v>35</v>
      </c>
      <c r="F19" s="1" t="s">
        <v>67</v>
      </c>
      <c r="G19" s="1" t="s">
        <v>36</v>
      </c>
      <c r="H19" s="1" t="s">
        <v>93</v>
      </c>
      <c r="I19" s="1" t="s">
        <v>94</v>
      </c>
      <c r="J19">
        <v>138058</v>
      </c>
      <c r="K19">
        <v>84111</v>
      </c>
      <c r="L19">
        <v>0</v>
      </c>
      <c r="M19">
        <v>0</v>
      </c>
      <c r="N19">
        <v>3</v>
      </c>
      <c r="O19" s="1" t="s">
        <v>32</v>
      </c>
      <c r="P19">
        <v>1</v>
      </c>
      <c r="Q19">
        <v>0</v>
      </c>
      <c r="R19">
        <v>2</v>
      </c>
      <c r="S19">
        <v>0</v>
      </c>
      <c r="T19">
        <v>0</v>
      </c>
      <c r="U19">
        <f>IF(openpolis_patrimoni_trasparenti_anno_2014[[#This Row],[totale_730_dichiarante]]&lt;&gt;0,LOG10(openpolis_patrimoni_trasparenti_anno_2014[[#This Row],[totale_730_dichiarante]]), 0)</f>
        <v>5.1400615776191767</v>
      </c>
    </row>
    <row r="20" spans="1:21" x14ac:dyDescent="0.3">
      <c r="A20">
        <v>687604</v>
      </c>
      <c r="B20" s="1" t="s">
        <v>95</v>
      </c>
      <c r="C20" s="1" t="s">
        <v>96</v>
      </c>
      <c r="D20" s="2">
        <v>23118</v>
      </c>
      <c r="E20" s="1" t="s">
        <v>35</v>
      </c>
      <c r="F20" s="1" t="s">
        <v>30</v>
      </c>
      <c r="G20" s="1" t="s">
        <v>25</v>
      </c>
      <c r="H20" s="1" t="s">
        <v>97</v>
      </c>
      <c r="I20" s="1" t="s">
        <v>98</v>
      </c>
      <c r="J20">
        <v>90000</v>
      </c>
      <c r="K20">
        <v>0</v>
      </c>
      <c r="L20">
        <v>0</v>
      </c>
      <c r="M20">
        <v>0</v>
      </c>
      <c r="N20">
        <v>3</v>
      </c>
      <c r="O20" s="1" t="s">
        <v>32</v>
      </c>
      <c r="P20">
        <v>2</v>
      </c>
      <c r="Q20">
        <v>0</v>
      </c>
      <c r="R20">
        <v>0</v>
      </c>
      <c r="S20">
        <v>0</v>
      </c>
      <c r="T20">
        <v>0</v>
      </c>
      <c r="U20">
        <f>IF(openpolis_patrimoni_trasparenti_anno_2014[[#This Row],[totale_730_dichiarante]]&lt;&gt;0,LOG10(openpolis_patrimoni_trasparenti_anno_2014[[#This Row],[totale_730_dichiarante]]), 0)</f>
        <v>4.9542425094393252</v>
      </c>
    </row>
    <row r="21" spans="1:21" x14ac:dyDescent="0.3">
      <c r="A21">
        <v>686279</v>
      </c>
      <c r="B21" s="1" t="s">
        <v>99</v>
      </c>
      <c r="C21" s="1" t="s">
        <v>100</v>
      </c>
      <c r="D21" s="2">
        <v>27264</v>
      </c>
      <c r="E21" s="1" t="s">
        <v>101</v>
      </c>
      <c r="F21" s="1" t="s">
        <v>30</v>
      </c>
      <c r="G21" s="1" t="s">
        <v>102</v>
      </c>
      <c r="H21" s="1" t="s">
        <v>102</v>
      </c>
      <c r="I21" s="1" t="s">
        <v>31</v>
      </c>
      <c r="J21">
        <v>63075</v>
      </c>
      <c r="K21">
        <v>0</v>
      </c>
      <c r="L21">
        <v>0</v>
      </c>
      <c r="M21">
        <v>0</v>
      </c>
      <c r="N21">
        <v>2</v>
      </c>
      <c r="O21" s="1" t="s">
        <v>43</v>
      </c>
      <c r="P21">
        <v>6</v>
      </c>
      <c r="Q21">
        <v>1</v>
      </c>
      <c r="R21">
        <v>3</v>
      </c>
      <c r="S21">
        <v>0</v>
      </c>
      <c r="T21">
        <v>0</v>
      </c>
      <c r="U21">
        <f>IF(openpolis_patrimoni_trasparenti_anno_2014[[#This Row],[totale_730_dichiarante]]&lt;&gt;0,LOG10(openpolis_patrimoni_trasparenti_anno_2014[[#This Row],[totale_730_dichiarante]]), 0)</f>
        <v>4.7998572591896123</v>
      </c>
    </row>
    <row r="22" spans="1:21" x14ac:dyDescent="0.3">
      <c r="A22">
        <v>685783</v>
      </c>
      <c r="B22" s="1" t="s">
        <v>103</v>
      </c>
      <c r="C22" s="1" t="s">
        <v>104</v>
      </c>
      <c r="D22" s="2">
        <v>20925</v>
      </c>
      <c r="E22" s="1" t="s">
        <v>35</v>
      </c>
      <c r="F22" s="1" t="s">
        <v>30</v>
      </c>
      <c r="G22" s="1" t="s">
        <v>24</v>
      </c>
      <c r="H22" s="1" t="s">
        <v>24</v>
      </c>
      <c r="I22" s="1" t="s">
        <v>42</v>
      </c>
      <c r="J22">
        <v>78230</v>
      </c>
      <c r="K22">
        <v>0</v>
      </c>
      <c r="L22">
        <v>0</v>
      </c>
      <c r="M22">
        <v>0</v>
      </c>
      <c r="N22">
        <v>3</v>
      </c>
      <c r="O22" s="1" t="s">
        <v>32</v>
      </c>
      <c r="P22">
        <v>1</v>
      </c>
      <c r="Q22">
        <v>0</v>
      </c>
      <c r="R22">
        <v>2</v>
      </c>
      <c r="S22">
        <v>0</v>
      </c>
      <c r="T22">
        <v>0</v>
      </c>
      <c r="U22">
        <f>IF(openpolis_patrimoni_trasparenti_anno_2014[[#This Row],[totale_730_dichiarante]]&lt;&gt;0,LOG10(openpolis_patrimoni_trasparenti_anno_2014[[#This Row],[totale_730_dichiarante]]), 0)</f>
        <v>4.8933733302460247</v>
      </c>
    </row>
    <row r="23" spans="1:21" x14ac:dyDescent="0.3">
      <c r="A23">
        <v>217</v>
      </c>
      <c r="B23" s="1" t="s">
        <v>105</v>
      </c>
      <c r="C23" s="1" t="s">
        <v>106</v>
      </c>
      <c r="D23" s="2">
        <v>18671</v>
      </c>
      <c r="E23" s="1" t="s">
        <v>29</v>
      </c>
      <c r="F23" s="1" t="s">
        <v>30</v>
      </c>
      <c r="G23" s="1" t="s">
        <v>24</v>
      </c>
      <c r="H23" s="1" t="s">
        <v>24</v>
      </c>
      <c r="I23" s="1" t="s">
        <v>42</v>
      </c>
      <c r="J23">
        <v>168079</v>
      </c>
      <c r="K23">
        <v>0</v>
      </c>
      <c r="L23">
        <v>0</v>
      </c>
      <c r="M23">
        <v>0</v>
      </c>
      <c r="N23">
        <v>3</v>
      </c>
      <c r="O23" s="1" t="s">
        <v>32</v>
      </c>
      <c r="P23">
        <v>9</v>
      </c>
      <c r="Q23">
        <v>3</v>
      </c>
      <c r="R23">
        <v>2</v>
      </c>
      <c r="S23">
        <v>1</v>
      </c>
      <c r="T23">
        <v>0</v>
      </c>
      <c r="U23">
        <f>IF(openpolis_patrimoni_trasparenti_anno_2014[[#This Row],[totale_730_dichiarante]]&lt;&gt;0,LOG10(openpolis_patrimoni_trasparenti_anno_2014[[#This Row],[totale_730_dichiarante]]), 0)</f>
        <v>5.2255134555344158</v>
      </c>
    </row>
    <row r="24" spans="1:21" x14ac:dyDescent="0.3">
      <c r="A24">
        <v>332918</v>
      </c>
      <c r="B24" s="1" t="s">
        <v>107</v>
      </c>
      <c r="C24" s="1" t="s">
        <v>108</v>
      </c>
      <c r="D24" s="2">
        <v>21060</v>
      </c>
      <c r="E24" s="1" t="s">
        <v>75</v>
      </c>
      <c r="F24" s="1" t="s">
        <v>67</v>
      </c>
      <c r="G24" s="1" t="s">
        <v>36</v>
      </c>
      <c r="H24" s="1" t="s">
        <v>37</v>
      </c>
      <c r="I24" s="1" t="s">
        <v>42</v>
      </c>
      <c r="J24">
        <v>85136</v>
      </c>
      <c r="K24">
        <v>0</v>
      </c>
      <c r="L24">
        <v>0</v>
      </c>
      <c r="M24">
        <v>0</v>
      </c>
      <c r="N24">
        <v>3</v>
      </c>
      <c r="O24" s="1" t="s">
        <v>32</v>
      </c>
      <c r="P24">
        <v>1</v>
      </c>
      <c r="Q24">
        <v>0</v>
      </c>
      <c r="R24">
        <v>1</v>
      </c>
      <c r="S24">
        <v>0</v>
      </c>
      <c r="T24">
        <v>0</v>
      </c>
      <c r="U24">
        <f>IF(openpolis_patrimoni_trasparenti_anno_2014[[#This Row],[totale_730_dichiarante]]&lt;&gt;0,LOG10(openpolis_patrimoni_trasparenti_anno_2014[[#This Row],[totale_730_dichiarante]]), 0)</f>
        <v>4.9301132415806475</v>
      </c>
    </row>
    <row r="25" spans="1:21" x14ac:dyDescent="0.3">
      <c r="A25">
        <v>332681</v>
      </c>
      <c r="B25" s="1" t="s">
        <v>109</v>
      </c>
      <c r="C25" s="1" t="s">
        <v>110</v>
      </c>
      <c r="D25" s="2">
        <v>23971</v>
      </c>
      <c r="E25" s="1" t="s">
        <v>41</v>
      </c>
      <c r="F25" s="1" t="s">
        <v>67</v>
      </c>
      <c r="G25" s="1" t="s">
        <v>36</v>
      </c>
      <c r="H25" s="1" t="s">
        <v>37</v>
      </c>
      <c r="I25" s="1" t="s">
        <v>111</v>
      </c>
      <c r="J25">
        <v>173945</v>
      </c>
      <c r="K25">
        <v>0</v>
      </c>
      <c r="L25">
        <v>0</v>
      </c>
      <c r="M25">
        <v>0</v>
      </c>
      <c r="N25">
        <v>3</v>
      </c>
      <c r="O25" s="1" t="s">
        <v>32</v>
      </c>
      <c r="P25">
        <v>3</v>
      </c>
      <c r="Q25">
        <v>0</v>
      </c>
      <c r="R25">
        <v>0</v>
      </c>
      <c r="S25">
        <v>5</v>
      </c>
      <c r="T25">
        <v>0</v>
      </c>
      <c r="U25">
        <f>IF(openpolis_patrimoni_trasparenti_anno_2014[[#This Row],[totale_730_dichiarante]]&lt;&gt;0,LOG10(openpolis_patrimoni_trasparenti_anno_2014[[#This Row],[totale_730_dichiarante]]), 0)</f>
        <v>5.2404119495905439</v>
      </c>
    </row>
    <row r="26" spans="1:21" x14ac:dyDescent="0.3">
      <c r="A26">
        <v>686443</v>
      </c>
      <c r="B26" s="1" t="s">
        <v>112</v>
      </c>
      <c r="C26" s="1" t="s">
        <v>113</v>
      </c>
      <c r="D26" s="2">
        <v>31424</v>
      </c>
      <c r="E26" s="1" t="s">
        <v>114</v>
      </c>
      <c r="F26" s="1" t="s">
        <v>30</v>
      </c>
      <c r="G26" s="1" t="s">
        <v>24</v>
      </c>
      <c r="H26" s="1" t="s">
        <v>24</v>
      </c>
      <c r="I26" s="1" t="s">
        <v>115</v>
      </c>
      <c r="J26">
        <v>78556</v>
      </c>
      <c r="K26">
        <v>0</v>
      </c>
      <c r="L26">
        <v>0</v>
      </c>
      <c r="M26">
        <v>0</v>
      </c>
      <c r="N26">
        <v>3</v>
      </c>
      <c r="O26" s="1" t="s">
        <v>32</v>
      </c>
      <c r="P26">
        <v>1</v>
      </c>
      <c r="Q26">
        <v>0</v>
      </c>
      <c r="R26">
        <v>0</v>
      </c>
      <c r="S26">
        <v>0</v>
      </c>
      <c r="T26">
        <v>0</v>
      </c>
      <c r="U26">
        <f>IF(openpolis_patrimoni_trasparenti_anno_2014[[#This Row],[totale_730_dichiarante]]&lt;&gt;0,LOG10(openpolis_patrimoni_trasparenti_anno_2014[[#This Row],[totale_730_dichiarante]]), 0)</f>
        <v>4.8951793614622607</v>
      </c>
    </row>
    <row r="27" spans="1:21" x14ac:dyDescent="0.3">
      <c r="A27">
        <v>686015</v>
      </c>
      <c r="B27" s="1" t="s">
        <v>116</v>
      </c>
      <c r="C27" s="1" t="s">
        <v>117</v>
      </c>
      <c r="D27" s="2">
        <v>27243</v>
      </c>
      <c r="E27" s="1" t="s">
        <v>49</v>
      </c>
      <c r="F27" s="1" t="s">
        <v>30</v>
      </c>
      <c r="G27" s="1" t="s">
        <v>102</v>
      </c>
      <c r="H27" s="1" t="s">
        <v>102</v>
      </c>
      <c r="I27" s="1" t="s">
        <v>118</v>
      </c>
      <c r="J27">
        <v>92040</v>
      </c>
      <c r="K27">
        <v>30014</v>
      </c>
      <c r="L27">
        <v>0</v>
      </c>
      <c r="M27">
        <v>0</v>
      </c>
      <c r="N27">
        <v>1</v>
      </c>
      <c r="O27" s="1" t="s">
        <v>119</v>
      </c>
      <c r="P27">
        <v>2</v>
      </c>
      <c r="Q27">
        <v>0</v>
      </c>
      <c r="R27">
        <v>1</v>
      </c>
      <c r="S27">
        <v>0</v>
      </c>
      <c r="T27">
        <v>0</v>
      </c>
      <c r="U27">
        <f>IF(openpolis_patrimoni_trasparenti_anno_2014[[#This Row],[totale_730_dichiarante]]&lt;&gt;0,LOG10(openpolis_patrimoni_trasparenti_anno_2014[[#This Row],[totale_730_dichiarante]]), 0)</f>
        <v>4.9639766099966058</v>
      </c>
    </row>
    <row r="28" spans="1:21" x14ac:dyDescent="0.3">
      <c r="A28">
        <v>686187</v>
      </c>
      <c r="B28" s="1" t="s">
        <v>120</v>
      </c>
      <c r="C28" s="1" t="s">
        <v>121</v>
      </c>
      <c r="D28" s="2">
        <v>25435</v>
      </c>
      <c r="E28" s="1" t="s">
        <v>22</v>
      </c>
      <c r="F28" s="1" t="s">
        <v>30</v>
      </c>
      <c r="G28" s="1" t="s">
        <v>24</v>
      </c>
      <c r="H28" s="1" t="s">
        <v>24</v>
      </c>
      <c r="I28" s="1" t="s">
        <v>42</v>
      </c>
      <c r="J28">
        <v>102760</v>
      </c>
      <c r="K28">
        <v>0</v>
      </c>
      <c r="L28">
        <v>11560</v>
      </c>
      <c r="M28">
        <v>4536.5</v>
      </c>
      <c r="N28">
        <v>3</v>
      </c>
      <c r="O28" s="1" t="s">
        <v>32</v>
      </c>
      <c r="P28">
        <v>1</v>
      </c>
      <c r="Q28">
        <v>0</v>
      </c>
      <c r="R28">
        <v>2</v>
      </c>
      <c r="S28">
        <v>0</v>
      </c>
      <c r="T28">
        <v>0</v>
      </c>
      <c r="U28">
        <f>IF(openpolis_patrimoni_trasparenti_anno_2014[[#This Row],[totale_730_dichiarante]]&lt;&gt;0,LOG10(openpolis_patrimoni_trasparenti_anno_2014[[#This Row],[totale_730_dichiarante]]), 0)</f>
        <v>5.0118240955943083</v>
      </c>
    </row>
    <row r="29" spans="1:21" x14ac:dyDescent="0.3">
      <c r="A29">
        <v>686385</v>
      </c>
      <c r="B29" s="1" t="s">
        <v>122</v>
      </c>
      <c r="C29" s="1" t="s">
        <v>123</v>
      </c>
      <c r="D29" s="2">
        <v>30509</v>
      </c>
      <c r="E29" s="1" t="s">
        <v>29</v>
      </c>
      <c r="F29" s="1" t="s">
        <v>30</v>
      </c>
      <c r="G29" s="1" t="s">
        <v>102</v>
      </c>
      <c r="H29" s="1" t="s">
        <v>102</v>
      </c>
      <c r="I29" s="1" t="s">
        <v>72</v>
      </c>
      <c r="J29">
        <v>90233</v>
      </c>
      <c r="K29">
        <v>0</v>
      </c>
      <c r="L29">
        <v>0</v>
      </c>
      <c r="M29">
        <v>0</v>
      </c>
      <c r="N29">
        <v>3</v>
      </c>
      <c r="O29" s="1" t="s">
        <v>32</v>
      </c>
      <c r="P29">
        <v>0</v>
      </c>
      <c r="Q29">
        <v>0</v>
      </c>
      <c r="R29">
        <v>0</v>
      </c>
      <c r="S29">
        <v>0</v>
      </c>
      <c r="T29">
        <v>0</v>
      </c>
      <c r="U29">
        <f>IF(openpolis_patrimoni_trasparenti_anno_2014[[#This Row],[totale_730_dichiarante]]&lt;&gt;0,LOG10(openpolis_patrimoni_trasparenti_anno_2014[[#This Row],[totale_730_dichiarante]]), 0)</f>
        <v>4.9553653967091957</v>
      </c>
    </row>
    <row r="30" spans="1:21" x14ac:dyDescent="0.3">
      <c r="A30">
        <v>687448</v>
      </c>
      <c r="B30" s="1" t="s">
        <v>124</v>
      </c>
      <c r="C30" s="1" t="s">
        <v>125</v>
      </c>
      <c r="D30" s="2">
        <v>20027</v>
      </c>
      <c r="E30" s="1" t="s">
        <v>22</v>
      </c>
      <c r="F30" s="1" t="s">
        <v>30</v>
      </c>
      <c r="G30" s="1" t="s">
        <v>126</v>
      </c>
      <c r="H30" s="1" t="s">
        <v>127</v>
      </c>
      <c r="I30" s="1" t="s">
        <v>76</v>
      </c>
      <c r="J30">
        <v>89491</v>
      </c>
      <c r="K30">
        <v>0</v>
      </c>
      <c r="L30">
        <v>0</v>
      </c>
      <c r="M30">
        <v>0</v>
      </c>
      <c r="N30">
        <v>3</v>
      </c>
      <c r="O30" s="1" t="s">
        <v>32</v>
      </c>
      <c r="P30">
        <v>1</v>
      </c>
      <c r="Q30">
        <v>0</v>
      </c>
      <c r="R30">
        <v>2</v>
      </c>
      <c r="S30">
        <v>0</v>
      </c>
      <c r="T30">
        <v>0</v>
      </c>
      <c r="U30">
        <f>IF(openpolis_patrimoni_trasparenti_anno_2014[[#This Row],[totale_730_dichiarante]]&lt;&gt;0,LOG10(openpolis_patrimoni_trasparenti_anno_2014[[#This Row],[totale_730_dichiarante]]), 0)</f>
        <v>4.9517793610491561</v>
      </c>
    </row>
    <row r="31" spans="1:21" x14ac:dyDescent="0.3">
      <c r="A31">
        <v>606</v>
      </c>
      <c r="B31" s="1" t="s">
        <v>128</v>
      </c>
      <c r="C31" s="1" t="s">
        <v>129</v>
      </c>
      <c r="D31" s="2">
        <v>20502</v>
      </c>
      <c r="E31" s="1" t="s">
        <v>35</v>
      </c>
      <c r="F31" s="1" t="s">
        <v>30</v>
      </c>
      <c r="G31" s="1" t="s">
        <v>24</v>
      </c>
      <c r="H31" s="1" t="s">
        <v>24</v>
      </c>
      <c r="I31" s="1" t="s">
        <v>42</v>
      </c>
      <c r="J31">
        <v>89631</v>
      </c>
      <c r="K31">
        <v>40601</v>
      </c>
      <c r="L31">
        <v>0</v>
      </c>
      <c r="M31">
        <v>0</v>
      </c>
      <c r="N31">
        <v>3</v>
      </c>
      <c r="O31" s="1" t="s">
        <v>32</v>
      </c>
      <c r="P31">
        <v>3</v>
      </c>
      <c r="Q31">
        <v>0</v>
      </c>
      <c r="R31">
        <v>2</v>
      </c>
      <c r="S31">
        <v>0</v>
      </c>
      <c r="T31">
        <v>1</v>
      </c>
      <c r="U31">
        <f>IF(openpolis_patrimoni_trasparenti_anno_2014[[#This Row],[totale_730_dichiarante]]&lt;&gt;0,LOG10(openpolis_patrimoni_trasparenti_anno_2014[[#This Row],[totale_730_dichiarante]]), 0)</f>
        <v>4.9524582418102829</v>
      </c>
    </row>
    <row r="32" spans="1:21" x14ac:dyDescent="0.3">
      <c r="A32">
        <v>478</v>
      </c>
      <c r="B32" s="1" t="s">
        <v>130</v>
      </c>
      <c r="C32" s="1" t="s">
        <v>131</v>
      </c>
      <c r="D32" s="2">
        <v>22267</v>
      </c>
      <c r="E32" s="1" t="s">
        <v>41</v>
      </c>
      <c r="F32" s="1" t="s">
        <v>30</v>
      </c>
      <c r="G32" s="1" t="s">
        <v>24</v>
      </c>
      <c r="H32" s="1" t="s">
        <v>24</v>
      </c>
      <c r="I32" s="1" t="s">
        <v>132</v>
      </c>
      <c r="J32">
        <v>109006</v>
      </c>
      <c r="K32">
        <v>86497.7</v>
      </c>
      <c r="L32">
        <v>0</v>
      </c>
      <c r="M32">
        <v>0</v>
      </c>
      <c r="N32">
        <v>1</v>
      </c>
      <c r="O32" s="1" t="s">
        <v>133</v>
      </c>
      <c r="P32">
        <v>11</v>
      </c>
      <c r="Q32">
        <v>26</v>
      </c>
      <c r="R32">
        <v>1</v>
      </c>
      <c r="S32">
        <v>0</v>
      </c>
      <c r="T32">
        <v>0</v>
      </c>
      <c r="U32">
        <f>IF(openpolis_patrimoni_trasparenti_anno_2014[[#This Row],[totale_730_dichiarante]]&lt;&gt;0,LOG10(openpolis_patrimoni_trasparenti_anno_2014[[#This Row],[totale_730_dichiarante]]), 0)</f>
        <v>5.0374504034009515</v>
      </c>
    </row>
    <row r="33" spans="1:21" x14ac:dyDescent="0.3">
      <c r="A33">
        <v>469</v>
      </c>
      <c r="B33" s="1" t="s">
        <v>134</v>
      </c>
      <c r="C33" s="1" t="s">
        <v>135</v>
      </c>
      <c r="D33" s="2">
        <v>21295</v>
      </c>
      <c r="E33" s="1" t="s">
        <v>136</v>
      </c>
      <c r="F33" s="1" t="s">
        <v>30</v>
      </c>
      <c r="G33" s="1" t="s">
        <v>24</v>
      </c>
      <c r="H33" s="1" t="s">
        <v>24</v>
      </c>
      <c r="I33" s="1" t="s">
        <v>115</v>
      </c>
      <c r="J33">
        <v>100340</v>
      </c>
      <c r="K33">
        <v>41133</v>
      </c>
      <c r="L33">
        <v>0</v>
      </c>
      <c r="M33">
        <v>0</v>
      </c>
      <c r="N33">
        <v>1</v>
      </c>
      <c r="O33" s="1" t="s">
        <v>137</v>
      </c>
      <c r="P33">
        <v>5</v>
      </c>
      <c r="Q33">
        <v>0</v>
      </c>
      <c r="R33">
        <v>2</v>
      </c>
      <c r="S33">
        <v>1</v>
      </c>
      <c r="T33">
        <v>1</v>
      </c>
      <c r="U33">
        <f>IF(openpolis_patrimoni_trasparenti_anno_2014[[#This Row],[totale_730_dichiarante]]&lt;&gt;0,LOG10(openpolis_patrimoni_trasparenti_anno_2014[[#This Row],[totale_730_dichiarante]]), 0)</f>
        <v>5.0014740966917328</v>
      </c>
    </row>
    <row r="34" spans="1:21" x14ac:dyDescent="0.3">
      <c r="A34">
        <v>401</v>
      </c>
      <c r="B34" s="1" t="s">
        <v>138</v>
      </c>
      <c r="C34" s="1" t="s">
        <v>139</v>
      </c>
      <c r="D34" s="2">
        <v>23083</v>
      </c>
      <c r="E34" s="1" t="s">
        <v>140</v>
      </c>
      <c r="F34" s="1" t="s">
        <v>30</v>
      </c>
      <c r="G34" s="1" t="s">
        <v>24</v>
      </c>
      <c r="H34" s="1" t="s">
        <v>24</v>
      </c>
      <c r="I34" s="1" t="s">
        <v>64</v>
      </c>
      <c r="J34">
        <v>98471</v>
      </c>
      <c r="K34">
        <v>0</v>
      </c>
      <c r="L34">
        <v>0</v>
      </c>
      <c r="M34">
        <v>0</v>
      </c>
      <c r="N34">
        <v>2</v>
      </c>
      <c r="O34" s="1" t="s">
        <v>43</v>
      </c>
      <c r="P34">
        <v>0</v>
      </c>
      <c r="Q34">
        <v>0</v>
      </c>
      <c r="R34">
        <v>2</v>
      </c>
      <c r="S34">
        <v>0</v>
      </c>
      <c r="T34">
        <v>0</v>
      </c>
      <c r="U34">
        <f>IF(openpolis_patrimoni_trasparenti_anno_2014[[#This Row],[totale_730_dichiarante]]&lt;&gt;0,LOG10(openpolis_patrimoni_trasparenti_anno_2014[[#This Row],[totale_730_dichiarante]]), 0)</f>
        <v>4.9933083483213911</v>
      </c>
    </row>
    <row r="35" spans="1:21" x14ac:dyDescent="0.3">
      <c r="A35">
        <v>686148</v>
      </c>
      <c r="B35" s="1" t="s">
        <v>141</v>
      </c>
      <c r="C35" s="1" t="s">
        <v>142</v>
      </c>
      <c r="D35" s="2">
        <v>31508</v>
      </c>
      <c r="E35" s="1" t="s">
        <v>114</v>
      </c>
      <c r="F35" s="1" t="s">
        <v>30</v>
      </c>
      <c r="G35" s="1" t="s">
        <v>24</v>
      </c>
      <c r="H35" s="1" t="s">
        <v>24</v>
      </c>
      <c r="I35" s="1" t="s">
        <v>132</v>
      </c>
      <c r="J35">
        <v>78830</v>
      </c>
      <c r="K35">
        <v>21305</v>
      </c>
      <c r="L35">
        <v>0</v>
      </c>
      <c r="M35">
        <v>0</v>
      </c>
      <c r="N35">
        <v>3</v>
      </c>
      <c r="O35" s="1" t="s">
        <v>32</v>
      </c>
      <c r="P35">
        <v>0</v>
      </c>
      <c r="Q35">
        <v>0</v>
      </c>
      <c r="R35">
        <v>1</v>
      </c>
      <c r="S35">
        <v>0</v>
      </c>
      <c r="T35">
        <v>0</v>
      </c>
      <c r="U35">
        <f>IF(openpolis_patrimoni_trasparenti_anno_2014[[#This Row],[totale_730_dichiarante]]&lt;&gt;0,LOG10(openpolis_patrimoni_trasparenti_anno_2014[[#This Row],[totale_730_dichiarante]]), 0)</f>
        <v>4.8966915265628836</v>
      </c>
    </row>
    <row r="36" spans="1:21" x14ac:dyDescent="0.3">
      <c r="A36">
        <v>686438</v>
      </c>
      <c r="B36" s="1" t="s">
        <v>143</v>
      </c>
      <c r="C36" s="1" t="s">
        <v>144</v>
      </c>
      <c r="D36" s="2">
        <v>16043</v>
      </c>
      <c r="E36" s="1" t="s">
        <v>29</v>
      </c>
      <c r="F36" s="1" t="s">
        <v>30</v>
      </c>
      <c r="G36" s="1" t="s">
        <v>24</v>
      </c>
      <c r="H36" s="1" t="s">
        <v>24</v>
      </c>
      <c r="I36" s="1" t="s">
        <v>115</v>
      </c>
      <c r="J36">
        <v>99230</v>
      </c>
      <c r="K36">
        <v>0</v>
      </c>
      <c r="L36">
        <v>0</v>
      </c>
      <c r="M36">
        <v>0</v>
      </c>
      <c r="N36">
        <v>3</v>
      </c>
      <c r="O36" s="1" t="s">
        <v>32</v>
      </c>
      <c r="P36">
        <v>2</v>
      </c>
      <c r="Q36">
        <v>0</v>
      </c>
      <c r="R36">
        <v>1</v>
      </c>
      <c r="S36">
        <v>0</v>
      </c>
      <c r="T36">
        <v>0</v>
      </c>
      <c r="U36">
        <f>IF(openpolis_patrimoni_trasparenti_anno_2014[[#This Row],[totale_730_dichiarante]]&lt;&gt;0,LOG10(openpolis_patrimoni_trasparenti_anno_2014[[#This Row],[totale_730_dichiarante]]), 0)</f>
        <v>4.9966429913554729</v>
      </c>
    </row>
    <row r="37" spans="1:21" x14ac:dyDescent="0.3">
      <c r="A37">
        <v>1495</v>
      </c>
      <c r="B37" s="1" t="s">
        <v>143</v>
      </c>
      <c r="C37" s="1" t="s">
        <v>145</v>
      </c>
      <c r="D37" s="2">
        <v>22824</v>
      </c>
      <c r="E37" s="1" t="s">
        <v>146</v>
      </c>
      <c r="F37" s="1" t="s">
        <v>30</v>
      </c>
      <c r="G37" s="1" t="s">
        <v>147</v>
      </c>
      <c r="H37" s="1" t="s">
        <v>54</v>
      </c>
      <c r="I37" s="1" t="s">
        <v>42</v>
      </c>
      <c r="J37">
        <v>101296</v>
      </c>
      <c r="K37">
        <v>0</v>
      </c>
      <c r="L37">
        <v>0</v>
      </c>
      <c r="M37">
        <v>0</v>
      </c>
      <c r="N37">
        <v>3</v>
      </c>
      <c r="O37" s="1" t="s">
        <v>32</v>
      </c>
      <c r="P37">
        <v>6</v>
      </c>
      <c r="Q37">
        <v>1</v>
      </c>
      <c r="R37">
        <v>3</v>
      </c>
      <c r="S37">
        <v>2</v>
      </c>
      <c r="T37">
        <v>0</v>
      </c>
      <c r="U37">
        <f>IF(openpolis_patrimoni_trasparenti_anno_2014[[#This Row],[totale_730_dichiarante]]&lt;&gt;0,LOG10(openpolis_patrimoni_trasparenti_anno_2014[[#This Row],[totale_730_dichiarante]]), 0)</f>
        <v>5.0055922961773955</v>
      </c>
    </row>
    <row r="38" spans="1:21" x14ac:dyDescent="0.3">
      <c r="A38">
        <v>686706</v>
      </c>
      <c r="B38" s="1" t="s">
        <v>148</v>
      </c>
      <c r="C38" s="1" t="s">
        <v>149</v>
      </c>
      <c r="D38" s="2">
        <v>27943</v>
      </c>
      <c r="E38" s="1" t="s">
        <v>63</v>
      </c>
      <c r="F38" s="1" t="s">
        <v>30</v>
      </c>
      <c r="G38" s="1" t="s">
        <v>102</v>
      </c>
      <c r="H38" s="1" t="s">
        <v>102</v>
      </c>
      <c r="I38" s="1" t="s">
        <v>46</v>
      </c>
      <c r="J38">
        <v>137829</v>
      </c>
      <c r="K38">
        <v>0</v>
      </c>
      <c r="L38">
        <v>0</v>
      </c>
      <c r="M38">
        <v>0</v>
      </c>
      <c r="N38">
        <v>3</v>
      </c>
      <c r="O38" s="1" t="s">
        <v>32</v>
      </c>
      <c r="P38">
        <v>1</v>
      </c>
      <c r="Q38">
        <v>0</v>
      </c>
      <c r="R38">
        <v>2</v>
      </c>
      <c r="S38">
        <v>0</v>
      </c>
      <c r="T38">
        <v>0</v>
      </c>
      <c r="U38">
        <f>IF(openpolis_patrimoni_trasparenti_anno_2014[[#This Row],[totale_730_dichiarante]]&lt;&gt;0,LOG10(openpolis_patrimoni_trasparenti_anno_2014[[#This Row],[totale_730_dichiarante]]), 0)</f>
        <v>5.1393406051978845</v>
      </c>
    </row>
    <row r="39" spans="1:21" x14ac:dyDescent="0.3">
      <c r="A39">
        <v>686381</v>
      </c>
      <c r="B39" s="1" t="s">
        <v>150</v>
      </c>
      <c r="C39" s="1" t="s">
        <v>151</v>
      </c>
      <c r="D39" s="2">
        <v>30085</v>
      </c>
      <c r="E39" s="1" t="s">
        <v>49</v>
      </c>
      <c r="F39" s="1" t="s">
        <v>30</v>
      </c>
      <c r="G39" s="1" t="s">
        <v>102</v>
      </c>
      <c r="H39" s="1" t="s">
        <v>102</v>
      </c>
      <c r="I39" s="1" t="s">
        <v>72</v>
      </c>
      <c r="J39">
        <v>83889</v>
      </c>
      <c r="K39">
        <v>0</v>
      </c>
      <c r="L39">
        <v>0</v>
      </c>
      <c r="M39">
        <v>0</v>
      </c>
      <c r="N39">
        <v>3</v>
      </c>
      <c r="O39" s="1" t="s">
        <v>32</v>
      </c>
      <c r="P39">
        <v>0</v>
      </c>
      <c r="Q39">
        <v>0</v>
      </c>
      <c r="R39">
        <v>1</v>
      </c>
      <c r="S39">
        <v>0</v>
      </c>
      <c r="T39">
        <v>0</v>
      </c>
      <c r="U39">
        <f>IF(openpolis_patrimoni_trasparenti_anno_2014[[#This Row],[totale_730_dichiarante]]&lt;&gt;0,LOG10(openpolis_patrimoni_trasparenti_anno_2014[[#This Row],[totale_730_dichiarante]]), 0)</f>
        <v>4.9237050174139618</v>
      </c>
    </row>
    <row r="40" spans="1:21" x14ac:dyDescent="0.3">
      <c r="A40">
        <v>686429</v>
      </c>
      <c r="B40" s="1" t="s">
        <v>152</v>
      </c>
      <c r="C40" s="1" t="s">
        <v>153</v>
      </c>
      <c r="D40" s="2">
        <v>27122</v>
      </c>
      <c r="E40" s="1" t="s">
        <v>49</v>
      </c>
      <c r="F40" s="1" t="s">
        <v>30</v>
      </c>
      <c r="G40" s="1" t="s">
        <v>102</v>
      </c>
      <c r="H40" s="1" t="s">
        <v>102</v>
      </c>
      <c r="I40" s="1" t="s">
        <v>58</v>
      </c>
      <c r="J40">
        <v>78229.8</v>
      </c>
      <c r="K40">
        <v>0</v>
      </c>
      <c r="L40">
        <v>0</v>
      </c>
      <c r="M40">
        <v>0</v>
      </c>
      <c r="N40">
        <v>3</v>
      </c>
      <c r="O40" s="1" t="s">
        <v>32</v>
      </c>
      <c r="P40">
        <v>1</v>
      </c>
      <c r="Q40">
        <v>0</v>
      </c>
      <c r="R40">
        <v>0</v>
      </c>
      <c r="S40">
        <v>0</v>
      </c>
      <c r="T40">
        <v>0</v>
      </c>
      <c r="U40">
        <f>IF(openpolis_patrimoni_trasparenti_anno_2014[[#This Row],[totale_730_dichiarante]]&lt;&gt;0,LOG10(openpolis_patrimoni_trasparenti_anno_2014[[#This Row],[totale_730_dichiarante]]), 0)</f>
        <v>4.893372219942977</v>
      </c>
    </row>
    <row r="41" spans="1:21" x14ac:dyDescent="0.3">
      <c r="A41">
        <v>653</v>
      </c>
      <c r="B41" s="1" t="s">
        <v>154</v>
      </c>
      <c r="C41" s="1" t="s">
        <v>155</v>
      </c>
      <c r="D41" s="2">
        <v>19867</v>
      </c>
      <c r="E41" s="1" t="s">
        <v>156</v>
      </c>
      <c r="F41" s="1" t="s">
        <v>30</v>
      </c>
      <c r="G41" s="1" t="s">
        <v>147</v>
      </c>
      <c r="H41" s="1" t="s">
        <v>54</v>
      </c>
      <c r="I41" s="1" t="s">
        <v>115</v>
      </c>
      <c r="J41">
        <v>124110</v>
      </c>
      <c r="K41">
        <v>0</v>
      </c>
      <c r="L41">
        <v>0</v>
      </c>
      <c r="M41">
        <v>0</v>
      </c>
      <c r="N41">
        <v>3</v>
      </c>
      <c r="O41" s="1" t="s">
        <v>32</v>
      </c>
      <c r="P41">
        <v>2</v>
      </c>
      <c r="Q41">
        <v>0</v>
      </c>
      <c r="R41">
        <v>1</v>
      </c>
      <c r="S41">
        <v>0</v>
      </c>
      <c r="T41">
        <v>0</v>
      </c>
      <c r="U41">
        <f>IF(openpolis_patrimoni_trasparenti_anno_2014[[#This Row],[totale_730_dichiarante]]&lt;&gt;0,LOG10(openpolis_patrimoni_trasparenti_anno_2014[[#This Row],[totale_730_dichiarante]]), 0)</f>
        <v>5.0938067756151746</v>
      </c>
    </row>
    <row r="42" spans="1:21" x14ac:dyDescent="0.3">
      <c r="A42">
        <v>243618</v>
      </c>
      <c r="B42" s="1" t="s">
        <v>157</v>
      </c>
      <c r="C42" s="1" t="s">
        <v>158</v>
      </c>
      <c r="D42" s="2">
        <v>25561</v>
      </c>
      <c r="E42" s="1" t="s">
        <v>22</v>
      </c>
      <c r="F42" s="1" t="s">
        <v>30</v>
      </c>
      <c r="G42" s="1" t="s">
        <v>126</v>
      </c>
      <c r="H42" s="1" t="s">
        <v>24</v>
      </c>
      <c r="I42" s="1" t="s">
        <v>159</v>
      </c>
      <c r="J42">
        <v>81709</v>
      </c>
      <c r="K42">
        <v>0</v>
      </c>
      <c r="L42">
        <v>0</v>
      </c>
      <c r="M42">
        <v>0</v>
      </c>
      <c r="N42">
        <v>2</v>
      </c>
      <c r="O42" s="1" t="s">
        <v>43</v>
      </c>
      <c r="P42">
        <v>2</v>
      </c>
      <c r="Q42">
        <v>0</v>
      </c>
      <c r="R42">
        <v>2</v>
      </c>
      <c r="S42">
        <v>0</v>
      </c>
      <c r="T42">
        <v>0</v>
      </c>
      <c r="U42">
        <f>IF(openpolis_patrimoni_trasparenti_anno_2014[[#This Row],[totale_730_dichiarante]]&lt;&gt;0,LOG10(openpolis_patrimoni_trasparenti_anno_2014[[#This Row],[totale_730_dichiarante]]), 0)</f>
        <v>4.9122698953949149</v>
      </c>
    </row>
    <row r="43" spans="1:21" x14ac:dyDescent="0.3">
      <c r="A43">
        <v>753399</v>
      </c>
      <c r="B43" s="1" t="s">
        <v>160</v>
      </c>
      <c r="C43" s="1" t="s">
        <v>161</v>
      </c>
      <c r="D43" s="2">
        <v>22136</v>
      </c>
      <c r="E43" s="1" t="s">
        <v>49</v>
      </c>
      <c r="F43" s="1" t="s">
        <v>25</v>
      </c>
      <c r="G43" s="1" t="s">
        <v>25</v>
      </c>
      <c r="H43" s="1" t="s">
        <v>25</v>
      </c>
      <c r="I43" s="1" t="s">
        <v>25</v>
      </c>
      <c r="J43">
        <v>25657</v>
      </c>
      <c r="K43">
        <v>0</v>
      </c>
      <c r="L43">
        <v>0</v>
      </c>
      <c r="M43">
        <v>0</v>
      </c>
      <c r="N43">
        <v>3</v>
      </c>
      <c r="O43" s="1" t="s">
        <v>61</v>
      </c>
      <c r="P43">
        <v>4</v>
      </c>
      <c r="Q43">
        <v>1</v>
      </c>
      <c r="R43">
        <v>1</v>
      </c>
      <c r="S43">
        <v>0</v>
      </c>
      <c r="T43">
        <v>0</v>
      </c>
      <c r="U43">
        <f>IF(openpolis_patrimoni_trasparenti_anno_2014[[#This Row],[totale_730_dichiarante]]&lt;&gt;0,LOG10(openpolis_patrimoni_trasparenti_anno_2014[[#This Row],[totale_730_dichiarante]]), 0)</f>
        <v>4.4092058741895732</v>
      </c>
    </row>
    <row r="44" spans="1:21" x14ac:dyDescent="0.3">
      <c r="A44">
        <v>236257</v>
      </c>
      <c r="B44" s="1" t="s">
        <v>162</v>
      </c>
      <c r="C44" s="1" t="s">
        <v>163</v>
      </c>
      <c r="D44" s="2">
        <v>21895</v>
      </c>
      <c r="E44" s="1" t="s">
        <v>101</v>
      </c>
      <c r="F44" s="1" t="s">
        <v>30</v>
      </c>
      <c r="G44" s="1" t="s">
        <v>126</v>
      </c>
      <c r="H44" s="1" t="s">
        <v>127</v>
      </c>
      <c r="I44" s="1" t="s">
        <v>118</v>
      </c>
      <c r="J44">
        <v>87920</v>
      </c>
      <c r="K44">
        <v>28417</v>
      </c>
      <c r="L44">
        <v>0</v>
      </c>
      <c r="M44">
        <v>0</v>
      </c>
      <c r="N44">
        <v>1</v>
      </c>
      <c r="O44" s="1" t="s">
        <v>119</v>
      </c>
      <c r="P44">
        <v>3</v>
      </c>
      <c r="Q44">
        <v>0</v>
      </c>
      <c r="R44">
        <v>1</v>
      </c>
      <c r="S44">
        <v>1</v>
      </c>
      <c r="T44">
        <v>1</v>
      </c>
      <c r="U44">
        <f>IF(openpolis_patrimoni_trasparenti_anno_2014[[#This Row],[totale_730_dichiarante]]&lt;&gt;0,LOG10(openpolis_patrimoni_trasparenti_anno_2014[[#This Row],[totale_730_dichiarante]]), 0)</f>
        <v>4.9440876794154338</v>
      </c>
    </row>
    <row r="45" spans="1:21" x14ac:dyDescent="0.3">
      <c r="A45">
        <v>686222</v>
      </c>
      <c r="B45" s="1" t="s">
        <v>44</v>
      </c>
      <c r="C45" s="1" t="s">
        <v>164</v>
      </c>
      <c r="D45" s="2">
        <v>24372</v>
      </c>
      <c r="E45" s="1" t="s">
        <v>140</v>
      </c>
      <c r="F45" s="1" t="s">
        <v>30</v>
      </c>
      <c r="G45" s="1" t="s">
        <v>24</v>
      </c>
      <c r="H45" s="1" t="s">
        <v>24</v>
      </c>
      <c r="I45" s="1" t="s">
        <v>111</v>
      </c>
      <c r="J45">
        <v>86563</v>
      </c>
      <c r="K45">
        <v>0</v>
      </c>
      <c r="L45">
        <v>0</v>
      </c>
      <c r="M45">
        <v>0</v>
      </c>
      <c r="N45">
        <v>2</v>
      </c>
      <c r="O45" s="1" t="s">
        <v>43</v>
      </c>
      <c r="P45">
        <v>3</v>
      </c>
      <c r="Q45">
        <v>0</v>
      </c>
      <c r="R45">
        <v>1</v>
      </c>
      <c r="S45">
        <v>0</v>
      </c>
      <c r="T45">
        <v>0</v>
      </c>
      <c r="U45">
        <f>IF(openpolis_patrimoni_trasparenti_anno_2014[[#This Row],[totale_730_dichiarante]]&lt;&gt;0,LOG10(openpolis_patrimoni_trasparenti_anno_2014[[#This Row],[totale_730_dichiarante]]), 0)</f>
        <v>4.9373322992974815</v>
      </c>
    </row>
    <row r="46" spans="1:21" x14ac:dyDescent="0.3">
      <c r="A46">
        <v>161</v>
      </c>
      <c r="B46" s="1" t="s">
        <v>165</v>
      </c>
      <c r="C46" s="1" t="s">
        <v>166</v>
      </c>
      <c r="D46" s="2">
        <v>19855</v>
      </c>
      <c r="E46" s="1" t="s">
        <v>156</v>
      </c>
      <c r="F46" s="1" t="s">
        <v>30</v>
      </c>
      <c r="G46" s="1" t="s">
        <v>167</v>
      </c>
      <c r="H46" s="1" t="s">
        <v>168</v>
      </c>
      <c r="I46" s="1" t="s">
        <v>169</v>
      </c>
      <c r="J46">
        <v>165473</v>
      </c>
      <c r="K46">
        <v>0</v>
      </c>
      <c r="L46">
        <v>0</v>
      </c>
      <c r="M46">
        <v>0</v>
      </c>
      <c r="N46">
        <v>3</v>
      </c>
      <c r="O46" s="1" t="s">
        <v>32</v>
      </c>
      <c r="P46">
        <v>4</v>
      </c>
      <c r="Q46">
        <v>0</v>
      </c>
      <c r="R46">
        <v>1</v>
      </c>
      <c r="S46">
        <v>1</v>
      </c>
      <c r="T46">
        <v>2</v>
      </c>
      <c r="U46">
        <f>IF(openpolis_patrimoni_trasparenti_anno_2014[[#This Row],[totale_730_dichiarante]]&lt;&gt;0,LOG10(openpolis_patrimoni_trasparenti_anno_2014[[#This Row],[totale_730_dichiarante]]), 0)</f>
        <v>5.2187271406639253</v>
      </c>
    </row>
    <row r="47" spans="1:21" x14ac:dyDescent="0.3">
      <c r="A47">
        <v>500293</v>
      </c>
      <c r="B47" s="1" t="s">
        <v>44</v>
      </c>
      <c r="C47" s="1" t="s">
        <v>170</v>
      </c>
      <c r="D47" s="2">
        <v>18450</v>
      </c>
      <c r="E47" s="1" t="s">
        <v>136</v>
      </c>
      <c r="F47" s="1" t="s">
        <v>30</v>
      </c>
      <c r="G47" s="1" t="s">
        <v>36</v>
      </c>
      <c r="H47" s="1" t="s">
        <v>168</v>
      </c>
      <c r="I47" s="1" t="s">
        <v>118</v>
      </c>
      <c r="J47">
        <v>208323</v>
      </c>
      <c r="K47">
        <v>34114</v>
      </c>
      <c r="L47">
        <v>0</v>
      </c>
      <c r="M47">
        <v>0</v>
      </c>
      <c r="N47">
        <v>3</v>
      </c>
      <c r="O47" s="1" t="s">
        <v>32</v>
      </c>
      <c r="P47">
        <v>3</v>
      </c>
      <c r="Q47">
        <v>0</v>
      </c>
      <c r="R47">
        <v>2</v>
      </c>
      <c r="S47">
        <v>0</v>
      </c>
      <c r="T47">
        <v>0</v>
      </c>
      <c r="U47">
        <f>IF(openpolis_patrimoni_trasparenti_anno_2014[[#This Row],[totale_730_dichiarante]]&lt;&gt;0,LOG10(openpolis_patrimoni_trasparenti_anno_2014[[#This Row],[totale_730_dichiarante]]), 0)</f>
        <v>5.3187372210838761</v>
      </c>
    </row>
    <row r="48" spans="1:21" x14ac:dyDescent="0.3">
      <c r="A48">
        <v>686730</v>
      </c>
      <c r="B48" s="1" t="s">
        <v>171</v>
      </c>
      <c r="C48" s="1" t="s">
        <v>172</v>
      </c>
      <c r="D48" s="2">
        <v>32067</v>
      </c>
      <c r="E48" s="1" t="s">
        <v>22</v>
      </c>
      <c r="F48" s="1" t="s">
        <v>30</v>
      </c>
      <c r="G48" s="1" t="s">
        <v>24</v>
      </c>
      <c r="H48" s="1" t="s">
        <v>24</v>
      </c>
      <c r="I48" s="1" t="s">
        <v>173</v>
      </c>
      <c r="J48">
        <v>80642</v>
      </c>
      <c r="K48">
        <v>0</v>
      </c>
      <c r="L48">
        <v>0</v>
      </c>
      <c r="M48">
        <v>0</v>
      </c>
      <c r="N48">
        <v>3</v>
      </c>
      <c r="O48" s="1" t="s">
        <v>32</v>
      </c>
      <c r="P48">
        <v>2</v>
      </c>
      <c r="Q48">
        <v>0</v>
      </c>
      <c r="R48">
        <v>2</v>
      </c>
      <c r="S48">
        <v>0</v>
      </c>
      <c r="T48">
        <v>0</v>
      </c>
      <c r="U48">
        <f>IF(openpolis_patrimoni_trasparenti_anno_2014[[#This Row],[totale_730_dichiarante]]&lt;&gt;0,LOG10(openpolis_patrimoni_trasparenti_anno_2014[[#This Row],[totale_730_dichiarante]]), 0)</f>
        <v>4.9065612901603881</v>
      </c>
    </row>
    <row r="49" spans="1:21" x14ac:dyDescent="0.3">
      <c r="A49">
        <v>332675</v>
      </c>
      <c r="B49" s="1" t="s">
        <v>174</v>
      </c>
      <c r="C49" s="1" t="s">
        <v>175</v>
      </c>
      <c r="D49" s="2">
        <v>18078</v>
      </c>
      <c r="E49" s="1" t="s">
        <v>49</v>
      </c>
      <c r="F49" s="1" t="s">
        <v>176</v>
      </c>
      <c r="G49" s="1" t="s">
        <v>177</v>
      </c>
      <c r="H49" s="1" t="s">
        <v>25</v>
      </c>
      <c r="I49" s="1" t="s">
        <v>178</v>
      </c>
      <c r="J49">
        <v>168665</v>
      </c>
      <c r="K49">
        <v>0</v>
      </c>
      <c r="L49">
        <v>0</v>
      </c>
      <c r="M49">
        <v>0</v>
      </c>
      <c r="N49">
        <v>2</v>
      </c>
      <c r="O49" s="1" t="s">
        <v>43</v>
      </c>
      <c r="P49">
        <v>1</v>
      </c>
      <c r="Q49">
        <v>0</v>
      </c>
      <c r="R49">
        <v>1</v>
      </c>
      <c r="S49">
        <v>0</v>
      </c>
      <c r="T49">
        <v>0</v>
      </c>
      <c r="U49">
        <f>IF(openpolis_patrimoni_trasparenti_anno_2014[[#This Row],[totale_730_dichiarante]]&lt;&gt;0,LOG10(openpolis_patrimoni_trasparenti_anno_2014[[#This Row],[totale_730_dichiarante]]), 0)</f>
        <v>5.2270249706514837</v>
      </c>
    </row>
    <row r="50" spans="1:21" x14ac:dyDescent="0.3">
      <c r="A50">
        <v>403281</v>
      </c>
      <c r="B50" s="1" t="s">
        <v>179</v>
      </c>
      <c r="C50" s="1" t="s">
        <v>180</v>
      </c>
      <c r="D50" s="2">
        <v>27809</v>
      </c>
      <c r="E50" s="1" t="s">
        <v>49</v>
      </c>
      <c r="F50" s="1" t="s">
        <v>30</v>
      </c>
      <c r="G50" s="1" t="s">
        <v>24</v>
      </c>
      <c r="H50" s="1" t="s">
        <v>24</v>
      </c>
      <c r="I50" s="1" t="s">
        <v>31</v>
      </c>
      <c r="J50">
        <v>99306</v>
      </c>
      <c r="K50">
        <v>3458</v>
      </c>
      <c r="L50">
        <v>0</v>
      </c>
      <c r="M50">
        <v>0</v>
      </c>
      <c r="N50">
        <v>1</v>
      </c>
      <c r="O50" s="1" t="s">
        <v>119</v>
      </c>
      <c r="P50">
        <v>4</v>
      </c>
      <c r="Q50">
        <v>1</v>
      </c>
      <c r="R50">
        <v>2</v>
      </c>
      <c r="S50">
        <v>0</v>
      </c>
      <c r="T50">
        <v>0</v>
      </c>
      <c r="U50">
        <f>IF(openpolis_patrimoni_trasparenti_anno_2014[[#This Row],[totale_730_dichiarante]]&lt;&gt;0,LOG10(openpolis_patrimoni_trasparenti_anno_2014[[#This Row],[totale_730_dichiarante]]), 0)</f>
        <v>4.9969754890610458</v>
      </c>
    </row>
    <row r="51" spans="1:21" x14ac:dyDescent="0.3">
      <c r="A51">
        <v>687336</v>
      </c>
      <c r="B51" s="1" t="s">
        <v>181</v>
      </c>
      <c r="C51" s="1" t="s">
        <v>182</v>
      </c>
      <c r="D51" s="2">
        <v>26782</v>
      </c>
      <c r="E51" s="1" t="s">
        <v>75</v>
      </c>
      <c r="F51" s="1" t="s">
        <v>30</v>
      </c>
      <c r="G51" s="1" t="s">
        <v>102</v>
      </c>
      <c r="H51" s="1" t="s">
        <v>102</v>
      </c>
      <c r="I51" s="1" t="s">
        <v>50</v>
      </c>
      <c r="J51">
        <v>84649</v>
      </c>
      <c r="K51">
        <v>0</v>
      </c>
      <c r="L51">
        <v>0</v>
      </c>
      <c r="M51">
        <v>0</v>
      </c>
      <c r="N51">
        <v>3</v>
      </c>
      <c r="O51" s="1" t="s">
        <v>32</v>
      </c>
      <c r="P51">
        <v>0</v>
      </c>
      <c r="Q51">
        <v>0</v>
      </c>
      <c r="R51">
        <v>1</v>
      </c>
      <c r="S51">
        <v>0</v>
      </c>
      <c r="T51">
        <v>0</v>
      </c>
      <c r="U51">
        <f>IF(openpolis_patrimoni_trasparenti_anno_2014[[#This Row],[totale_730_dichiarante]]&lt;&gt;0,LOG10(openpolis_patrimoni_trasparenti_anno_2014[[#This Row],[totale_730_dichiarante]]), 0)</f>
        <v>4.9276218319423295</v>
      </c>
    </row>
    <row r="52" spans="1:21" x14ac:dyDescent="0.3">
      <c r="A52">
        <v>517174</v>
      </c>
      <c r="B52" s="1" t="s">
        <v>183</v>
      </c>
      <c r="C52" s="1" t="s">
        <v>184</v>
      </c>
      <c r="D52" s="2">
        <v>25094</v>
      </c>
      <c r="E52" s="1" t="s">
        <v>29</v>
      </c>
      <c r="F52" s="1" t="s">
        <v>30</v>
      </c>
      <c r="G52" s="1" t="s">
        <v>24</v>
      </c>
      <c r="H52" s="1" t="s">
        <v>24</v>
      </c>
      <c r="I52" s="1" t="s">
        <v>72</v>
      </c>
      <c r="J52">
        <v>106100</v>
      </c>
      <c r="K52">
        <v>0</v>
      </c>
      <c r="L52">
        <v>0</v>
      </c>
      <c r="M52">
        <v>0</v>
      </c>
      <c r="N52">
        <v>3</v>
      </c>
      <c r="O52" s="1" t="s">
        <v>32</v>
      </c>
      <c r="P52">
        <v>2</v>
      </c>
      <c r="Q52">
        <v>0</v>
      </c>
      <c r="R52">
        <v>2</v>
      </c>
      <c r="S52">
        <v>0</v>
      </c>
      <c r="T52">
        <v>0</v>
      </c>
      <c r="U52">
        <f>IF(openpolis_patrimoni_trasparenti_anno_2014[[#This Row],[totale_730_dichiarante]]&lt;&gt;0,LOG10(openpolis_patrimoni_trasparenti_anno_2014[[#This Row],[totale_730_dichiarante]]), 0)</f>
        <v>5.0257153839013409</v>
      </c>
    </row>
    <row r="53" spans="1:21" x14ac:dyDescent="0.3">
      <c r="A53">
        <v>229196</v>
      </c>
      <c r="B53" s="1" t="s">
        <v>84</v>
      </c>
      <c r="C53" s="1" t="s">
        <v>185</v>
      </c>
      <c r="D53" s="2">
        <v>25730</v>
      </c>
      <c r="E53" s="1" t="s">
        <v>41</v>
      </c>
      <c r="F53" s="1" t="s">
        <v>30</v>
      </c>
      <c r="G53" s="1" t="s">
        <v>24</v>
      </c>
      <c r="H53" s="1" t="s">
        <v>24</v>
      </c>
      <c r="I53" s="1" t="s">
        <v>38</v>
      </c>
      <c r="J53">
        <v>159150</v>
      </c>
      <c r="K53">
        <v>0</v>
      </c>
      <c r="L53">
        <v>0</v>
      </c>
      <c r="M53">
        <v>0</v>
      </c>
      <c r="N53">
        <v>2</v>
      </c>
      <c r="O53" s="1" t="s">
        <v>43</v>
      </c>
      <c r="P53">
        <v>5</v>
      </c>
      <c r="Q53">
        <v>0</v>
      </c>
      <c r="R53">
        <v>3</v>
      </c>
      <c r="S53">
        <v>1</v>
      </c>
      <c r="T53">
        <v>0</v>
      </c>
      <c r="U53">
        <f>IF(openpolis_patrimoni_trasparenti_anno_2014[[#This Row],[totale_730_dichiarante]]&lt;&gt;0,LOG10(openpolis_patrimoni_trasparenti_anno_2014[[#This Row],[totale_730_dichiarante]]), 0)</f>
        <v>5.2018066429570222</v>
      </c>
    </row>
    <row r="54" spans="1:21" x14ac:dyDescent="0.3">
      <c r="A54">
        <v>213</v>
      </c>
      <c r="B54" s="1" t="s">
        <v>186</v>
      </c>
      <c r="C54" s="1" t="s">
        <v>187</v>
      </c>
      <c r="D54" s="2">
        <v>24261</v>
      </c>
      <c r="E54" s="1" t="s">
        <v>75</v>
      </c>
      <c r="F54" s="1" t="s">
        <v>30</v>
      </c>
      <c r="G54" s="1" t="s">
        <v>36</v>
      </c>
      <c r="H54" s="1" t="s">
        <v>168</v>
      </c>
      <c r="I54" s="1" t="s">
        <v>42</v>
      </c>
      <c r="J54">
        <v>93284</v>
      </c>
      <c r="K54">
        <v>0</v>
      </c>
      <c r="L54">
        <v>0</v>
      </c>
      <c r="M54">
        <v>0</v>
      </c>
      <c r="N54">
        <v>3</v>
      </c>
      <c r="O54" s="1" t="s">
        <v>32</v>
      </c>
      <c r="P54">
        <v>1</v>
      </c>
      <c r="Q54">
        <v>0</v>
      </c>
      <c r="R54">
        <v>1</v>
      </c>
      <c r="S54">
        <v>0</v>
      </c>
      <c r="T54">
        <v>0</v>
      </c>
      <c r="U54">
        <f>IF(openpolis_patrimoni_trasparenti_anno_2014[[#This Row],[totale_730_dichiarante]]&lt;&gt;0,LOG10(openpolis_patrimoni_trasparenti_anno_2014[[#This Row],[totale_730_dichiarante]]), 0)</f>
        <v>4.9698071602781697</v>
      </c>
    </row>
    <row r="55" spans="1:21" x14ac:dyDescent="0.3">
      <c r="A55">
        <v>686419</v>
      </c>
      <c r="B55" s="1" t="s">
        <v>70</v>
      </c>
      <c r="C55" s="1" t="s">
        <v>187</v>
      </c>
      <c r="D55" s="2">
        <v>25434</v>
      </c>
      <c r="E55" s="1" t="s">
        <v>156</v>
      </c>
      <c r="F55" s="1" t="s">
        <v>30</v>
      </c>
      <c r="G55" s="1" t="s">
        <v>24</v>
      </c>
      <c r="H55" s="1" t="s">
        <v>24</v>
      </c>
      <c r="I55" s="1" t="s">
        <v>58</v>
      </c>
      <c r="J55">
        <v>96899</v>
      </c>
      <c r="K55">
        <v>0</v>
      </c>
      <c r="L55">
        <v>0</v>
      </c>
      <c r="M55">
        <v>0</v>
      </c>
      <c r="N55">
        <v>3</v>
      </c>
      <c r="O55" s="1" t="s">
        <v>32</v>
      </c>
      <c r="P55">
        <v>1</v>
      </c>
      <c r="Q55">
        <v>0</v>
      </c>
      <c r="R55">
        <v>1</v>
      </c>
      <c r="S55">
        <v>0</v>
      </c>
      <c r="T55">
        <v>0</v>
      </c>
      <c r="U55">
        <f>IF(openpolis_patrimoni_trasparenti_anno_2014[[#This Row],[totale_730_dichiarante]]&lt;&gt;0,LOG10(openpolis_patrimoni_trasparenti_anno_2014[[#This Row],[totale_730_dichiarante]]), 0)</f>
        <v>4.9863192951444404</v>
      </c>
    </row>
    <row r="56" spans="1:21" x14ac:dyDescent="0.3">
      <c r="A56">
        <v>1483</v>
      </c>
      <c r="B56" s="1" t="s">
        <v>160</v>
      </c>
      <c r="C56" s="1" t="s">
        <v>188</v>
      </c>
      <c r="D56" s="2">
        <v>15794</v>
      </c>
      <c r="E56" s="1" t="s">
        <v>75</v>
      </c>
      <c r="F56" s="1" t="s">
        <v>30</v>
      </c>
      <c r="G56" s="1" t="s">
        <v>167</v>
      </c>
      <c r="H56" s="1" t="s">
        <v>168</v>
      </c>
      <c r="I56" s="1" t="s">
        <v>50</v>
      </c>
      <c r="J56">
        <v>95873</v>
      </c>
      <c r="K56">
        <v>0</v>
      </c>
      <c r="L56">
        <v>0</v>
      </c>
      <c r="M56">
        <v>0</v>
      </c>
      <c r="N56">
        <v>3</v>
      </c>
      <c r="O56" s="1" t="s">
        <v>32</v>
      </c>
      <c r="P56">
        <v>0</v>
      </c>
      <c r="Q56">
        <v>0</v>
      </c>
      <c r="R56">
        <v>1</v>
      </c>
      <c r="S56">
        <v>0</v>
      </c>
      <c r="T56">
        <v>0</v>
      </c>
      <c r="U56">
        <f>IF(openpolis_patrimoni_trasparenti_anno_2014[[#This Row],[totale_730_dichiarante]]&lt;&gt;0,LOG10(openpolis_patrimoni_trasparenti_anno_2014[[#This Row],[totale_730_dichiarante]]), 0)</f>
        <v>4.9816963172644844</v>
      </c>
    </row>
    <row r="57" spans="1:21" x14ac:dyDescent="0.3">
      <c r="A57">
        <v>274772</v>
      </c>
      <c r="B57" s="1" t="s">
        <v>189</v>
      </c>
      <c r="C57" s="1" t="s">
        <v>190</v>
      </c>
      <c r="D57" s="2">
        <v>19009</v>
      </c>
      <c r="E57" s="1" t="s">
        <v>136</v>
      </c>
      <c r="F57" s="1" t="s">
        <v>30</v>
      </c>
      <c r="G57" s="1" t="s">
        <v>24</v>
      </c>
      <c r="H57" s="1" t="s">
        <v>24</v>
      </c>
      <c r="I57" s="1" t="s">
        <v>191</v>
      </c>
      <c r="J57">
        <v>95257</v>
      </c>
      <c r="K57">
        <v>0</v>
      </c>
      <c r="L57">
        <v>0</v>
      </c>
      <c r="M57">
        <v>0</v>
      </c>
      <c r="N57">
        <v>2</v>
      </c>
      <c r="O57" s="1" t="s">
        <v>43</v>
      </c>
      <c r="P57">
        <v>0</v>
      </c>
      <c r="Q57">
        <v>1</v>
      </c>
      <c r="R57">
        <v>3</v>
      </c>
      <c r="S57">
        <v>0</v>
      </c>
      <c r="T57">
        <v>0</v>
      </c>
      <c r="U57">
        <f>IF(openpolis_patrimoni_trasparenti_anno_2014[[#This Row],[totale_730_dichiarante]]&lt;&gt;0,LOG10(openpolis_patrimoni_trasparenti_anno_2014[[#This Row],[totale_730_dichiarante]]), 0)</f>
        <v>4.9788968998297616</v>
      </c>
    </row>
    <row r="58" spans="1:21" x14ac:dyDescent="0.3">
      <c r="A58">
        <v>1485</v>
      </c>
      <c r="B58" s="1" t="s">
        <v>192</v>
      </c>
      <c r="C58" s="1" t="s">
        <v>193</v>
      </c>
      <c r="D58" s="2">
        <v>20238</v>
      </c>
      <c r="E58" s="1" t="s">
        <v>35</v>
      </c>
      <c r="F58" s="1" t="s">
        <v>176</v>
      </c>
      <c r="G58" s="1" t="s">
        <v>177</v>
      </c>
      <c r="H58" s="1" t="s">
        <v>25</v>
      </c>
      <c r="I58" s="1" t="s">
        <v>194</v>
      </c>
      <c r="J58">
        <v>92462</v>
      </c>
      <c r="K58">
        <v>0</v>
      </c>
      <c r="L58">
        <v>0</v>
      </c>
      <c r="M58">
        <v>0</v>
      </c>
      <c r="N58">
        <v>2</v>
      </c>
      <c r="O58" s="1" t="s">
        <v>195</v>
      </c>
      <c r="P58">
        <v>4</v>
      </c>
      <c r="Q58">
        <v>6</v>
      </c>
      <c r="R58">
        <v>1</v>
      </c>
      <c r="S58">
        <v>4</v>
      </c>
      <c r="T58">
        <v>0</v>
      </c>
      <c r="U58">
        <f>IF(openpolis_patrimoni_trasparenti_anno_2014[[#This Row],[totale_730_dichiarante]]&lt;&gt;0,LOG10(openpolis_patrimoni_trasparenti_anno_2014[[#This Row],[totale_730_dichiarante]]), 0)</f>
        <v>4.9659632832137843</v>
      </c>
    </row>
    <row r="59" spans="1:21" x14ac:dyDescent="0.3">
      <c r="A59">
        <v>686793</v>
      </c>
      <c r="B59" s="1" t="s">
        <v>196</v>
      </c>
      <c r="C59" s="1" t="s">
        <v>197</v>
      </c>
      <c r="D59" s="2">
        <v>27930</v>
      </c>
      <c r="E59" s="1" t="s">
        <v>22</v>
      </c>
      <c r="F59" s="1" t="s">
        <v>30</v>
      </c>
      <c r="G59" s="1" t="s">
        <v>126</v>
      </c>
      <c r="H59" s="1" t="s">
        <v>24</v>
      </c>
      <c r="I59" s="1" t="s">
        <v>50</v>
      </c>
      <c r="J59">
        <v>95570</v>
      </c>
      <c r="K59">
        <v>0</v>
      </c>
      <c r="L59">
        <v>0</v>
      </c>
      <c r="M59">
        <v>0</v>
      </c>
      <c r="N59">
        <v>3</v>
      </c>
      <c r="O59" s="1" t="s">
        <v>32</v>
      </c>
      <c r="P59">
        <v>0</v>
      </c>
      <c r="Q59">
        <v>0</v>
      </c>
      <c r="R59">
        <v>1</v>
      </c>
      <c r="S59">
        <v>0</v>
      </c>
      <c r="T59">
        <v>0</v>
      </c>
      <c r="U59">
        <f>IF(openpolis_patrimoni_trasparenti_anno_2014[[#This Row],[totale_730_dichiarante]]&lt;&gt;0,LOG10(openpolis_patrimoni_trasparenti_anno_2014[[#This Row],[totale_730_dichiarante]]), 0)</f>
        <v>4.9803215860087562</v>
      </c>
    </row>
    <row r="60" spans="1:21" x14ac:dyDescent="0.3">
      <c r="A60">
        <v>437762</v>
      </c>
      <c r="B60" s="1" t="s">
        <v>198</v>
      </c>
      <c r="C60" s="1" t="s">
        <v>199</v>
      </c>
      <c r="D60" s="2">
        <v>30946</v>
      </c>
      <c r="E60" s="1" t="s">
        <v>114</v>
      </c>
      <c r="F60" s="1" t="s">
        <v>30</v>
      </c>
      <c r="G60" s="1" t="s">
        <v>24</v>
      </c>
      <c r="H60" s="1" t="s">
        <v>24</v>
      </c>
      <c r="I60" s="1" t="s">
        <v>200</v>
      </c>
      <c r="J60">
        <v>78338</v>
      </c>
      <c r="K60">
        <v>0</v>
      </c>
      <c r="L60">
        <v>0</v>
      </c>
      <c r="M60">
        <v>0</v>
      </c>
      <c r="N60">
        <v>3</v>
      </c>
      <c r="O60" s="1" t="s">
        <v>32</v>
      </c>
      <c r="P60">
        <v>0</v>
      </c>
      <c r="Q60">
        <v>0</v>
      </c>
      <c r="R60">
        <v>0</v>
      </c>
      <c r="S60">
        <v>0</v>
      </c>
      <c r="T60">
        <v>0</v>
      </c>
      <c r="U60">
        <f>IF(openpolis_patrimoni_trasparenti_anno_2014[[#This Row],[totale_730_dichiarante]]&lt;&gt;0,LOG10(openpolis_patrimoni_trasparenti_anno_2014[[#This Row],[totale_730_dichiarante]]), 0)</f>
        <v>4.8939724796441748</v>
      </c>
    </row>
    <row r="61" spans="1:21" x14ac:dyDescent="0.3">
      <c r="A61">
        <v>232683</v>
      </c>
      <c r="B61" s="1" t="s">
        <v>201</v>
      </c>
      <c r="C61" s="1" t="s">
        <v>202</v>
      </c>
      <c r="D61" s="2">
        <v>29100</v>
      </c>
      <c r="E61" s="1" t="s">
        <v>49</v>
      </c>
      <c r="F61" s="1" t="s">
        <v>30</v>
      </c>
      <c r="G61" s="1" t="s">
        <v>24</v>
      </c>
      <c r="H61" s="1" t="s">
        <v>24</v>
      </c>
      <c r="I61" s="1" t="s">
        <v>72</v>
      </c>
      <c r="J61">
        <v>98471</v>
      </c>
      <c r="K61">
        <v>0</v>
      </c>
      <c r="L61">
        <v>0</v>
      </c>
      <c r="M61">
        <v>0</v>
      </c>
      <c r="N61">
        <v>2</v>
      </c>
      <c r="O61" s="1" t="s">
        <v>43</v>
      </c>
      <c r="P61">
        <v>0</v>
      </c>
      <c r="Q61">
        <v>0</v>
      </c>
      <c r="R61">
        <v>2</v>
      </c>
      <c r="S61">
        <v>0</v>
      </c>
      <c r="T61">
        <v>0</v>
      </c>
      <c r="U61">
        <f>IF(openpolis_patrimoni_trasparenti_anno_2014[[#This Row],[totale_730_dichiarante]]&lt;&gt;0,LOG10(openpolis_patrimoni_trasparenti_anno_2014[[#This Row],[totale_730_dichiarante]]), 0)</f>
        <v>4.9933083483213911</v>
      </c>
    </row>
    <row r="62" spans="1:21" x14ac:dyDescent="0.3">
      <c r="A62">
        <v>383352</v>
      </c>
      <c r="B62" s="1" t="s">
        <v>203</v>
      </c>
      <c r="C62" s="1" t="s">
        <v>204</v>
      </c>
      <c r="D62" s="2">
        <v>18741</v>
      </c>
      <c r="E62" s="1" t="s">
        <v>35</v>
      </c>
      <c r="F62" s="1" t="s">
        <v>30</v>
      </c>
      <c r="G62" s="1" t="s">
        <v>24</v>
      </c>
      <c r="H62" s="1" t="s">
        <v>24</v>
      </c>
      <c r="I62" s="1" t="s">
        <v>191</v>
      </c>
      <c r="J62">
        <v>127152</v>
      </c>
      <c r="K62">
        <v>0</v>
      </c>
      <c r="L62">
        <v>0</v>
      </c>
      <c r="M62">
        <v>0</v>
      </c>
      <c r="N62">
        <v>2</v>
      </c>
      <c r="O62" s="1" t="s">
        <v>43</v>
      </c>
      <c r="P62">
        <v>3</v>
      </c>
      <c r="Q62">
        <v>0</v>
      </c>
      <c r="R62">
        <v>1</v>
      </c>
      <c r="S62">
        <v>0</v>
      </c>
      <c r="T62">
        <v>0</v>
      </c>
      <c r="U62">
        <f>IF(openpolis_patrimoni_trasparenti_anno_2014[[#This Row],[totale_730_dichiarante]]&lt;&gt;0,LOG10(openpolis_patrimoni_trasparenti_anno_2014[[#This Row],[totale_730_dichiarante]]), 0)</f>
        <v>5.1043231956728183</v>
      </c>
    </row>
    <row r="63" spans="1:21" x14ac:dyDescent="0.3">
      <c r="A63">
        <v>685910</v>
      </c>
      <c r="B63" s="1" t="s">
        <v>160</v>
      </c>
      <c r="C63" s="1" t="s">
        <v>205</v>
      </c>
      <c r="D63" s="2">
        <v>27205</v>
      </c>
      <c r="E63" s="1" t="s">
        <v>49</v>
      </c>
      <c r="F63" s="1" t="s">
        <v>30</v>
      </c>
      <c r="G63" s="1" t="s">
        <v>24</v>
      </c>
      <c r="H63" s="1" t="s">
        <v>24</v>
      </c>
      <c r="I63" s="1" t="s">
        <v>200</v>
      </c>
      <c r="J63">
        <v>88430</v>
      </c>
      <c r="K63">
        <v>0</v>
      </c>
      <c r="L63">
        <v>0</v>
      </c>
      <c r="M63">
        <v>0</v>
      </c>
      <c r="N63">
        <v>3</v>
      </c>
      <c r="O63" s="1" t="s">
        <v>32</v>
      </c>
      <c r="P63">
        <v>1</v>
      </c>
      <c r="Q63">
        <v>0</v>
      </c>
      <c r="R63">
        <v>1</v>
      </c>
      <c r="S63">
        <v>0</v>
      </c>
      <c r="T63">
        <v>0</v>
      </c>
      <c r="U63">
        <f>IF(openpolis_patrimoni_trasparenti_anno_2014[[#This Row],[totale_730_dichiarante]]&lt;&gt;0,LOG10(openpolis_patrimoni_trasparenti_anno_2014[[#This Row],[totale_730_dichiarante]]), 0)</f>
        <v>4.946599625015133</v>
      </c>
    </row>
    <row r="64" spans="1:21" x14ac:dyDescent="0.3">
      <c r="A64">
        <v>686473</v>
      </c>
      <c r="B64" s="1" t="s">
        <v>84</v>
      </c>
      <c r="C64" s="1" t="s">
        <v>206</v>
      </c>
      <c r="D64" s="2">
        <v>30531</v>
      </c>
      <c r="E64" s="1" t="s">
        <v>63</v>
      </c>
      <c r="F64" s="1" t="s">
        <v>30</v>
      </c>
      <c r="G64" s="1" t="s">
        <v>102</v>
      </c>
      <c r="H64" s="1" t="s">
        <v>102</v>
      </c>
      <c r="I64" s="1" t="s">
        <v>115</v>
      </c>
      <c r="J64">
        <v>82350</v>
      </c>
      <c r="K64">
        <v>0</v>
      </c>
      <c r="L64">
        <v>0</v>
      </c>
      <c r="M64">
        <v>0</v>
      </c>
      <c r="N64">
        <v>3</v>
      </c>
      <c r="O64" s="1" t="s">
        <v>32</v>
      </c>
      <c r="P64">
        <v>0</v>
      </c>
      <c r="Q64">
        <v>0</v>
      </c>
      <c r="R64">
        <v>1</v>
      </c>
      <c r="S64">
        <v>0</v>
      </c>
      <c r="T64">
        <v>0</v>
      </c>
      <c r="U64">
        <f>IF(openpolis_patrimoni_trasparenti_anno_2014[[#This Row],[totale_730_dichiarante]]&lt;&gt;0,LOG10(openpolis_patrimoni_trasparenti_anno_2014[[#This Row],[totale_730_dichiarante]]), 0)</f>
        <v>4.9156636035057728</v>
      </c>
    </row>
    <row r="65" spans="1:21" x14ac:dyDescent="0.3">
      <c r="A65">
        <v>176599</v>
      </c>
      <c r="B65" s="1" t="s">
        <v>207</v>
      </c>
      <c r="C65" s="1" t="s">
        <v>208</v>
      </c>
      <c r="D65" s="2">
        <v>24815</v>
      </c>
      <c r="E65" s="1" t="s">
        <v>35</v>
      </c>
      <c r="F65" s="1" t="s">
        <v>30</v>
      </c>
      <c r="G65" s="1" t="s">
        <v>53</v>
      </c>
      <c r="H65" s="1" t="s">
        <v>53</v>
      </c>
      <c r="I65" s="1" t="s">
        <v>55</v>
      </c>
      <c r="J65">
        <v>107351</v>
      </c>
      <c r="K65">
        <v>19833</v>
      </c>
      <c r="L65">
        <v>0</v>
      </c>
      <c r="M65">
        <v>0</v>
      </c>
      <c r="N65">
        <v>1</v>
      </c>
      <c r="O65" s="1" t="s">
        <v>209</v>
      </c>
      <c r="P65">
        <v>4</v>
      </c>
      <c r="Q65">
        <v>0</v>
      </c>
      <c r="R65">
        <v>1</v>
      </c>
      <c r="S65">
        <v>3</v>
      </c>
      <c r="T65">
        <v>1</v>
      </c>
      <c r="U65">
        <f>IF(openpolis_patrimoni_trasparenti_anno_2014[[#This Row],[totale_730_dichiarante]]&lt;&gt;0,LOG10(openpolis_patrimoni_trasparenti_anno_2014[[#This Row],[totale_730_dichiarante]]), 0)</f>
        <v>5.030806094347108</v>
      </c>
    </row>
    <row r="66" spans="1:21" x14ac:dyDescent="0.3">
      <c r="A66">
        <v>687291</v>
      </c>
      <c r="B66" s="1" t="s">
        <v>198</v>
      </c>
      <c r="C66" s="1" t="s">
        <v>210</v>
      </c>
      <c r="D66" s="2">
        <v>30498</v>
      </c>
      <c r="E66" s="1" t="s">
        <v>63</v>
      </c>
      <c r="F66" s="1" t="s">
        <v>30</v>
      </c>
      <c r="G66" s="1" t="s">
        <v>102</v>
      </c>
      <c r="H66" s="1" t="s">
        <v>102</v>
      </c>
      <c r="I66" s="1" t="s">
        <v>55</v>
      </c>
      <c r="J66">
        <v>78230</v>
      </c>
      <c r="K66">
        <v>0</v>
      </c>
      <c r="L66">
        <v>0</v>
      </c>
      <c r="M66">
        <v>0</v>
      </c>
      <c r="N66">
        <v>2</v>
      </c>
      <c r="O66" s="1" t="s">
        <v>43</v>
      </c>
      <c r="P66">
        <v>0</v>
      </c>
      <c r="Q66">
        <v>0</v>
      </c>
      <c r="R66">
        <v>1</v>
      </c>
      <c r="S66">
        <v>0</v>
      </c>
      <c r="T66">
        <v>0</v>
      </c>
      <c r="U66">
        <f>IF(openpolis_patrimoni_trasparenti_anno_2014[[#This Row],[totale_730_dichiarante]]&lt;&gt;0,LOG10(openpolis_patrimoni_trasparenti_anno_2014[[#This Row],[totale_730_dichiarante]]), 0)</f>
        <v>4.8933733302460247</v>
      </c>
    </row>
    <row r="67" spans="1:21" x14ac:dyDescent="0.3">
      <c r="A67">
        <v>267</v>
      </c>
      <c r="B67" s="1" t="s">
        <v>211</v>
      </c>
      <c r="C67" s="1" t="s">
        <v>212</v>
      </c>
      <c r="D67" s="2">
        <v>18211</v>
      </c>
      <c r="E67" s="1" t="s">
        <v>35</v>
      </c>
      <c r="F67" s="1" t="s">
        <v>30</v>
      </c>
      <c r="G67" s="1" t="s">
        <v>24</v>
      </c>
      <c r="H67" s="1" t="s">
        <v>24</v>
      </c>
      <c r="I67" s="1" t="s">
        <v>169</v>
      </c>
      <c r="J67">
        <v>118510</v>
      </c>
      <c r="K67">
        <v>0</v>
      </c>
      <c r="L67">
        <v>0</v>
      </c>
      <c r="M67">
        <v>0</v>
      </c>
      <c r="N67">
        <v>3</v>
      </c>
      <c r="O67" s="1" t="s">
        <v>32</v>
      </c>
      <c r="P67">
        <v>10</v>
      </c>
      <c r="Q67">
        <v>1</v>
      </c>
      <c r="R67">
        <v>6</v>
      </c>
      <c r="S67">
        <v>0</v>
      </c>
      <c r="T67">
        <v>0</v>
      </c>
      <c r="U67">
        <f>IF(openpolis_patrimoni_trasparenti_anno_2014[[#This Row],[totale_730_dichiarante]]&lt;&gt;0,LOG10(openpolis_patrimoni_trasparenti_anno_2014[[#This Row],[totale_730_dichiarante]]), 0)</f>
        <v>5.0737549981231922</v>
      </c>
    </row>
    <row r="68" spans="1:21" x14ac:dyDescent="0.3">
      <c r="A68">
        <v>272</v>
      </c>
      <c r="B68" s="1" t="s">
        <v>213</v>
      </c>
      <c r="C68" s="1" t="s">
        <v>214</v>
      </c>
      <c r="D68" s="2">
        <v>27746</v>
      </c>
      <c r="E68" s="1" t="s">
        <v>22</v>
      </c>
      <c r="F68" s="1" t="s">
        <v>30</v>
      </c>
      <c r="G68" s="1" t="s">
        <v>36</v>
      </c>
      <c r="H68" s="1" t="s">
        <v>37</v>
      </c>
      <c r="I68" s="1" t="s">
        <v>132</v>
      </c>
      <c r="J68">
        <v>98471</v>
      </c>
      <c r="K68">
        <v>0</v>
      </c>
      <c r="L68">
        <v>0</v>
      </c>
      <c r="M68">
        <v>0</v>
      </c>
      <c r="N68">
        <v>3</v>
      </c>
      <c r="O68" s="1" t="s">
        <v>32</v>
      </c>
      <c r="P68">
        <v>1</v>
      </c>
      <c r="Q68">
        <v>0</v>
      </c>
      <c r="R68">
        <v>1</v>
      </c>
      <c r="S68">
        <v>0</v>
      </c>
      <c r="T68">
        <v>0</v>
      </c>
      <c r="U68">
        <f>IF(openpolis_patrimoni_trasparenti_anno_2014[[#This Row],[totale_730_dichiarante]]&lt;&gt;0,LOG10(openpolis_patrimoni_trasparenti_anno_2014[[#This Row],[totale_730_dichiarante]]), 0)</f>
        <v>4.9933083483213911</v>
      </c>
    </row>
    <row r="69" spans="1:21" x14ac:dyDescent="0.3">
      <c r="A69">
        <v>332695</v>
      </c>
      <c r="B69" s="1" t="s">
        <v>215</v>
      </c>
      <c r="C69" s="1" t="s">
        <v>216</v>
      </c>
      <c r="D69" s="2">
        <v>29986</v>
      </c>
      <c r="E69" s="1" t="s">
        <v>22</v>
      </c>
      <c r="F69" s="1" t="s">
        <v>30</v>
      </c>
      <c r="G69" s="1" t="s">
        <v>24</v>
      </c>
      <c r="H69" s="1" t="s">
        <v>24</v>
      </c>
      <c r="I69" s="1" t="s">
        <v>169</v>
      </c>
      <c r="J69">
        <v>98471</v>
      </c>
      <c r="K69">
        <v>0</v>
      </c>
      <c r="L69">
        <v>0</v>
      </c>
      <c r="M69">
        <v>0</v>
      </c>
      <c r="N69">
        <v>3</v>
      </c>
      <c r="O69" s="1" t="s">
        <v>32</v>
      </c>
      <c r="P69">
        <v>1</v>
      </c>
      <c r="Q69">
        <v>0</v>
      </c>
      <c r="R69">
        <v>2</v>
      </c>
      <c r="S69">
        <v>1</v>
      </c>
      <c r="T69">
        <v>0</v>
      </c>
      <c r="U69">
        <f>IF(openpolis_patrimoni_trasparenti_anno_2014[[#This Row],[totale_730_dichiarante]]&lt;&gt;0,LOG10(openpolis_patrimoni_trasparenti_anno_2014[[#This Row],[totale_730_dichiarante]]), 0)</f>
        <v>4.9933083483213911</v>
      </c>
    </row>
    <row r="70" spans="1:21" x14ac:dyDescent="0.3">
      <c r="A70">
        <v>7996</v>
      </c>
      <c r="B70" s="1" t="s">
        <v>217</v>
      </c>
      <c r="C70" s="1" t="s">
        <v>218</v>
      </c>
      <c r="D70" s="2">
        <v>27232</v>
      </c>
      <c r="E70" s="1" t="s">
        <v>49</v>
      </c>
      <c r="F70" s="1" t="s">
        <v>30</v>
      </c>
      <c r="G70" s="1" t="s">
        <v>24</v>
      </c>
      <c r="H70" s="1" t="s">
        <v>24</v>
      </c>
      <c r="I70" s="1" t="s">
        <v>76</v>
      </c>
      <c r="J70">
        <v>90870</v>
      </c>
      <c r="K70">
        <v>24943</v>
      </c>
      <c r="L70">
        <v>0</v>
      </c>
      <c r="M70">
        <v>0</v>
      </c>
      <c r="N70">
        <v>1</v>
      </c>
      <c r="O70" s="1" t="s">
        <v>119</v>
      </c>
      <c r="P70">
        <v>2</v>
      </c>
      <c r="Q70">
        <v>1</v>
      </c>
      <c r="R70">
        <v>2</v>
      </c>
      <c r="S70">
        <v>0</v>
      </c>
      <c r="T70">
        <v>0</v>
      </c>
      <c r="U70">
        <f>IF(openpolis_patrimoni_trasparenti_anno_2014[[#This Row],[totale_730_dichiarante]]&lt;&gt;0,LOG10(openpolis_patrimoni_trasparenti_anno_2014[[#This Row],[totale_730_dichiarante]]), 0)</f>
        <v>4.9584205280525184</v>
      </c>
    </row>
    <row r="71" spans="1:21" x14ac:dyDescent="0.3">
      <c r="A71">
        <v>6524</v>
      </c>
      <c r="B71" s="1" t="s">
        <v>219</v>
      </c>
      <c r="C71" s="1" t="s">
        <v>220</v>
      </c>
      <c r="D71" s="2">
        <v>25440</v>
      </c>
      <c r="E71" s="1" t="s">
        <v>49</v>
      </c>
      <c r="F71" s="1" t="s">
        <v>30</v>
      </c>
      <c r="G71" s="1" t="s">
        <v>36</v>
      </c>
      <c r="H71" s="1" t="s">
        <v>54</v>
      </c>
      <c r="I71" s="1" t="s">
        <v>115</v>
      </c>
      <c r="J71">
        <v>22825</v>
      </c>
      <c r="K71">
        <v>0</v>
      </c>
      <c r="L71">
        <v>0</v>
      </c>
      <c r="M71">
        <v>0</v>
      </c>
      <c r="N71">
        <v>3</v>
      </c>
      <c r="O71" s="1" t="s">
        <v>61</v>
      </c>
      <c r="P71">
        <v>0</v>
      </c>
      <c r="Q71">
        <v>0</v>
      </c>
      <c r="R71">
        <v>1</v>
      </c>
      <c r="S71">
        <v>0</v>
      </c>
      <c r="T71">
        <v>0</v>
      </c>
      <c r="U71">
        <f>IF(openpolis_patrimoni_trasparenti_anno_2014[[#This Row],[totale_730_dichiarante]]&lt;&gt;0,LOG10(openpolis_patrimoni_trasparenti_anno_2014[[#This Row],[totale_730_dichiarante]]), 0)</f>
        <v>4.3584107862063366</v>
      </c>
    </row>
    <row r="72" spans="1:21" x14ac:dyDescent="0.3">
      <c r="A72">
        <v>356940</v>
      </c>
      <c r="B72" s="1" t="s">
        <v>44</v>
      </c>
      <c r="C72" s="1" t="s">
        <v>221</v>
      </c>
      <c r="D72" s="2">
        <v>26972</v>
      </c>
      <c r="E72" s="1" t="s">
        <v>29</v>
      </c>
      <c r="F72" s="1" t="s">
        <v>30</v>
      </c>
      <c r="G72" s="1" t="s">
        <v>24</v>
      </c>
      <c r="H72" s="1" t="s">
        <v>24</v>
      </c>
      <c r="I72" s="1" t="s">
        <v>191</v>
      </c>
      <c r="J72">
        <v>91789</v>
      </c>
      <c r="K72">
        <v>0</v>
      </c>
      <c r="L72">
        <v>0</v>
      </c>
      <c r="M72">
        <v>0</v>
      </c>
      <c r="N72">
        <v>3</v>
      </c>
      <c r="O72" s="1" t="s">
        <v>32</v>
      </c>
      <c r="P72">
        <v>1</v>
      </c>
      <c r="Q72">
        <v>0</v>
      </c>
      <c r="R72">
        <v>1</v>
      </c>
      <c r="S72">
        <v>0</v>
      </c>
      <c r="T72">
        <v>1</v>
      </c>
      <c r="U72">
        <f>IF(openpolis_patrimoni_trasparenti_anno_2014[[#This Row],[totale_730_dichiarante]]&lt;&gt;0,LOG10(openpolis_patrimoni_trasparenti_anno_2014[[#This Row],[totale_730_dichiarante]]), 0)</f>
        <v>4.9627906384393485</v>
      </c>
    </row>
    <row r="73" spans="1:21" x14ac:dyDescent="0.3">
      <c r="A73">
        <v>686505</v>
      </c>
      <c r="B73" s="1" t="s">
        <v>222</v>
      </c>
      <c r="C73" s="1" t="s">
        <v>223</v>
      </c>
      <c r="D73" s="2">
        <v>27356</v>
      </c>
      <c r="E73" s="1" t="s">
        <v>63</v>
      </c>
      <c r="F73" s="1" t="s">
        <v>30</v>
      </c>
      <c r="G73" s="1" t="s">
        <v>102</v>
      </c>
      <c r="H73" s="1" t="s">
        <v>102</v>
      </c>
      <c r="I73" s="1" t="s">
        <v>89</v>
      </c>
      <c r="J73">
        <v>79215</v>
      </c>
      <c r="K73">
        <v>0</v>
      </c>
      <c r="L73">
        <v>0</v>
      </c>
      <c r="M73">
        <v>0</v>
      </c>
      <c r="N73">
        <v>2</v>
      </c>
      <c r="O73" s="1" t="s">
        <v>43</v>
      </c>
      <c r="P73">
        <v>0</v>
      </c>
      <c r="Q73">
        <v>0</v>
      </c>
      <c r="R73">
        <v>2</v>
      </c>
      <c r="S73">
        <v>0</v>
      </c>
      <c r="T73">
        <v>1</v>
      </c>
      <c r="U73">
        <f>IF(openpolis_patrimoni_trasparenti_anno_2014[[#This Row],[totale_730_dichiarante]]&lt;&gt;0,LOG10(openpolis_patrimoni_trasparenti_anno_2014[[#This Row],[totale_730_dichiarante]]), 0)</f>
        <v>4.8988074265441757</v>
      </c>
    </row>
    <row r="74" spans="1:21" x14ac:dyDescent="0.3">
      <c r="A74">
        <v>686467</v>
      </c>
      <c r="B74" s="1" t="s">
        <v>84</v>
      </c>
      <c r="C74" s="1" t="s">
        <v>224</v>
      </c>
      <c r="D74" s="2">
        <v>28609</v>
      </c>
      <c r="E74" s="1" t="s">
        <v>49</v>
      </c>
      <c r="F74" s="1" t="s">
        <v>30</v>
      </c>
      <c r="G74" s="1" t="s">
        <v>102</v>
      </c>
      <c r="H74" s="1" t="s">
        <v>102</v>
      </c>
      <c r="I74" s="1" t="s">
        <v>115</v>
      </c>
      <c r="J74">
        <v>87271</v>
      </c>
      <c r="K74">
        <v>0</v>
      </c>
      <c r="L74">
        <v>0</v>
      </c>
      <c r="M74">
        <v>0</v>
      </c>
      <c r="N74">
        <v>2</v>
      </c>
      <c r="O74" s="1" t="s">
        <v>43</v>
      </c>
      <c r="P74">
        <v>0</v>
      </c>
      <c r="Q74">
        <v>0</v>
      </c>
      <c r="R74">
        <v>2</v>
      </c>
      <c r="S74">
        <v>0</v>
      </c>
      <c r="T74">
        <v>0</v>
      </c>
      <c r="U74">
        <f>IF(openpolis_patrimoni_trasparenti_anno_2014[[#This Row],[totale_730_dichiarante]]&lt;&gt;0,LOG10(openpolis_patrimoni_trasparenti_anno_2014[[#This Row],[totale_730_dichiarante]]), 0)</f>
        <v>4.9408699523846629</v>
      </c>
    </row>
    <row r="75" spans="1:21" x14ac:dyDescent="0.3">
      <c r="A75">
        <v>326</v>
      </c>
      <c r="B75" s="1" t="s">
        <v>225</v>
      </c>
      <c r="C75" s="1" t="s">
        <v>226</v>
      </c>
      <c r="D75" s="2">
        <v>21765</v>
      </c>
      <c r="E75" s="1" t="s">
        <v>227</v>
      </c>
      <c r="F75" s="1" t="s">
        <v>30</v>
      </c>
      <c r="G75" s="1" t="s">
        <v>36</v>
      </c>
      <c r="H75" s="1" t="s">
        <v>37</v>
      </c>
      <c r="I75" s="1" t="s">
        <v>159</v>
      </c>
      <c r="J75">
        <v>453103</v>
      </c>
      <c r="K75">
        <v>0</v>
      </c>
      <c r="L75">
        <v>0</v>
      </c>
      <c r="M75">
        <v>0</v>
      </c>
      <c r="N75">
        <v>3</v>
      </c>
      <c r="O75" s="1" t="s">
        <v>32</v>
      </c>
      <c r="P75">
        <v>21</v>
      </c>
      <c r="Q75">
        <v>44</v>
      </c>
      <c r="R75">
        <v>2</v>
      </c>
      <c r="S75">
        <v>4</v>
      </c>
      <c r="T75">
        <v>0</v>
      </c>
      <c r="U75">
        <f>IF(openpolis_patrimoni_trasparenti_anno_2014[[#This Row],[totale_730_dichiarante]]&lt;&gt;0,LOG10(openpolis_patrimoni_trasparenti_anno_2014[[#This Row],[totale_730_dichiarante]]), 0)</f>
        <v>5.656196937657298</v>
      </c>
    </row>
    <row r="76" spans="1:21" x14ac:dyDescent="0.3">
      <c r="A76">
        <v>686471</v>
      </c>
      <c r="B76" s="1" t="s">
        <v>228</v>
      </c>
      <c r="C76" s="1" t="s">
        <v>229</v>
      </c>
      <c r="D76" s="2">
        <v>29012</v>
      </c>
      <c r="E76" s="1" t="s">
        <v>49</v>
      </c>
      <c r="F76" s="1" t="s">
        <v>30</v>
      </c>
      <c r="G76" s="1" t="s">
        <v>102</v>
      </c>
      <c r="H76" s="1" t="s">
        <v>102</v>
      </c>
      <c r="I76" s="1" t="s">
        <v>115</v>
      </c>
      <c r="J76">
        <v>82167</v>
      </c>
      <c r="K76">
        <v>0</v>
      </c>
      <c r="L76">
        <v>0</v>
      </c>
      <c r="M76">
        <v>0</v>
      </c>
      <c r="N76">
        <v>2</v>
      </c>
      <c r="O76" s="1" t="s">
        <v>43</v>
      </c>
      <c r="P76">
        <v>2</v>
      </c>
      <c r="Q76">
        <v>0</v>
      </c>
      <c r="R76">
        <v>3</v>
      </c>
      <c r="S76">
        <v>0</v>
      </c>
      <c r="T76">
        <v>0</v>
      </c>
      <c r="U76">
        <f>IF(openpolis_patrimoni_trasparenti_anno_2014[[#This Row],[totale_730_dichiarante]]&lt;&gt;0,LOG10(openpolis_patrimoni_trasparenti_anno_2014[[#This Row],[totale_730_dichiarante]]), 0)</f>
        <v>4.914697430733753</v>
      </c>
    </row>
    <row r="77" spans="1:21" x14ac:dyDescent="0.3">
      <c r="A77">
        <v>685685</v>
      </c>
      <c r="B77" s="1" t="s">
        <v>230</v>
      </c>
      <c r="C77" s="1" t="s">
        <v>231</v>
      </c>
      <c r="D77" s="2">
        <v>29666</v>
      </c>
      <c r="E77" s="1" t="s">
        <v>49</v>
      </c>
      <c r="F77" s="1" t="s">
        <v>30</v>
      </c>
      <c r="G77" s="1" t="s">
        <v>102</v>
      </c>
      <c r="H77" s="1" t="s">
        <v>102</v>
      </c>
      <c r="I77" s="1" t="s">
        <v>76</v>
      </c>
      <c r="J77">
        <v>78229.8</v>
      </c>
      <c r="K77">
        <v>0</v>
      </c>
      <c r="L77">
        <v>0</v>
      </c>
      <c r="M77">
        <v>0</v>
      </c>
      <c r="N77">
        <v>3</v>
      </c>
      <c r="O77" s="1" t="s">
        <v>90</v>
      </c>
      <c r="P77">
        <v>0</v>
      </c>
      <c r="Q77">
        <v>1</v>
      </c>
      <c r="R77">
        <v>2</v>
      </c>
      <c r="S77">
        <v>0</v>
      </c>
      <c r="T77">
        <v>1</v>
      </c>
      <c r="U77">
        <f>IF(openpolis_patrimoni_trasparenti_anno_2014[[#This Row],[totale_730_dichiarante]]&lt;&gt;0,LOG10(openpolis_patrimoni_trasparenti_anno_2014[[#This Row],[totale_730_dichiarante]]), 0)</f>
        <v>4.893372219942977</v>
      </c>
    </row>
    <row r="78" spans="1:21" x14ac:dyDescent="0.3">
      <c r="A78">
        <v>20720</v>
      </c>
      <c r="B78" s="1" t="s">
        <v>192</v>
      </c>
      <c r="C78" s="1" t="s">
        <v>232</v>
      </c>
      <c r="D78" s="2">
        <v>27620</v>
      </c>
      <c r="E78" s="1" t="s">
        <v>49</v>
      </c>
      <c r="F78" s="1" t="s">
        <v>30</v>
      </c>
      <c r="G78" s="1" t="s">
        <v>24</v>
      </c>
      <c r="H78" s="1" t="s">
        <v>24</v>
      </c>
      <c r="I78" s="1" t="s">
        <v>132</v>
      </c>
      <c r="J78">
        <v>87953</v>
      </c>
      <c r="K78">
        <v>0</v>
      </c>
      <c r="L78">
        <v>0</v>
      </c>
      <c r="M78">
        <v>0</v>
      </c>
      <c r="N78">
        <v>2</v>
      </c>
      <c r="O78" s="1" t="s">
        <v>43</v>
      </c>
      <c r="P78">
        <v>2</v>
      </c>
      <c r="Q78">
        <v>0</v>
      </c>
      <c r="R78">
        <v>1</v>
      </c>
      <c r="S78">
        <v>0</v>
      </c>
      <c r="T78">
        <v>0</v>
      </c>
      <c r="U78">
        <f>IF(openpolis_patrimoni_trasparenti_anno_2014[[#This Row],[totale_730_dichiarante]]&lt;&gt;0,LOG10(openpolis_patrimoni_trasparenti_anno_2014[[#This Row],[totale_730_dichiarante]]), 0)</f>
        <v>4.9442506574515281</v>
      </c>
    </row>
    <row r="79" spans="1:21" x14ac:dyDescent="0.3">
      <c r="A79">
        <v>686197</v>
      </c>
      <c r="B79" s="1" t="s">
        <v>233</v>
      </c>
      <c r="C79" s="1" t="s">
        <v>234</v>
      </c>
      <c r="D79" s="2">
        <v>18604</v>
      </c>
      <c r="E79" s="1" t="s">
        <v>29</v>
      </c>
      <c r="F79" s="1" t="s">
        <v>30</v>
      </c>
      <c r="G79" s="1" t="s">
        <v>24</v>
      </c>
      <c r="H79" s="1" t="s">
        <v>127</v>
      </c>
      <c r="I79" s="1" t="s">
        <v>111</v>
      </c>
      <c r="J79">
        <v>108077</v>
      </c>
      <c r="K79">
        <v>0</v>
      </c>
      <c r="L79">
        <v>0</v>
      </c>
      <c r="M79">
        <v>0</v>
      </c>
      <c r="N79">
        <v>3</v>
      </c>
      <c r="O79" s="1" t="s">
        <v>32</v>
      </c>
      <c r="P79">
        <v>2</v>
      </c>
      <c r="Q79">
        <v>0</v>
      </c>
      <c r="R79">
        <v>1</v>
      </c>
      <c r="S79">
        <v>0</v>
      </c>
      <c r="T79">
        <v>0</v>
      </c>
      <c r="U79">
        <f>IF(openpolis_patrimoni_trasparenti_anno_2014[[#This Row],[totale_730_dichiarante]]&lt;&gt;0,LOG10(openpolis_patrimoni_trasparenti_anno_2014[[#This Row],[totale_730_dichiarante]]), 0)</f>
        <v>5.0337332810405444</v>
      </c>
    </row>
    <row r="80" spans="1:21" x14ac:dyDescent="0.3">
      <c r="A80">
        <v>686340</v>
      </c>
      <c r="B80" s="1" t="s">
        <v>235</v>
      </c>
      <c r="C80" s="1" t="s">
        <v>236</v>
      </c>
      <c r="D80" s="2">
        <v>20170</v>
      </c>
      <c r="E80" s="1" t="s">
        <v>35</v>
      </c>
      <c r="F80" s="1" t="s">
        <v>176</v>
      </c>
      <c r="G80" s="1" t="s">
        <v>237</v>
      </c>
      <c r="H80" s="1" t="s">
        <v>25</v>
      </c>
      <c r="I80" s="1" t="s">
        <v>64</v>
      </c>
      <c r="J80">
        <v>276463</v>
      </c>
      <c r="K80">
        <v>0</v>
      </c>
      <c r="L80">
        <v>0</v>
      </c>
      <c r="M80">
        <v>0</v>
      </c>
      <c r="N80">
        <v>3</v>
      </c>
      <c r="O80" s="1" t="s">
        <v>32</v>
      </c>
      <c r="P80">
        <v>0</v>
      </c>
      <c r="Q80">
        <v>0</v>
      </c>
      <c r="R80">
        <v>5</v>
      </c>
      <c r="S80">
        <v>1</v>
      </c>
      <c r="T80">
        <v>0</v>
      </c>
      <c r="U80">
        <f>IF(openpolis_patrimoni_trasparenti_anno_2014[[#This Row],[totale_730_dichiarante]]&lt;&gt;0,LOG10(openpolis_patrimoni_trasparenti_anno_2014[[#This Row],[totale_730_dichiarante]]), 0)</f>
        <v>5.4416370163963759</v>
      </c>
    </row>
    <row r="81" spans="1:21" x14ac:dyDescent="0.3">
      <c r="A81">
        <v>686356</v>
      </c>
      <c r="B81" s="1" t="s">
        <v>238</v>
      </c>
      <c r="C81" s="1" t="s">
        <v>239</v>
      </c>
      <c r="D81" s="2">
        <v>31069</v>
      </c>
      <c r="E81" s="1" t="s">
        <v>140</v>
      </c>
      <c r="F81" s="1" t="s">
        <v>30</v>
      </c>
      <c r="G81" s="1" t="s">
        <v>24</v>
      </c>
      <c r="H81" s="1" t="s">
        <v>24</v>
      </c>
      <c r="I81" s="1" t="s">
        <v>72</v>
      </c>
      <c r="J81">
        <v>80635</v>
      </c>
      <c r="K81">
        <v>0</v>
      </c>
      <c r="L81">
        <v>0</v>
      </c>
      <c r="M81">
        <v>0</v>
      </c>
      <c r="N81">
        <v>3</v>
      </c>
      <c r="O81" s="1" t="s">
        <v>32</v>
      </c>
      <c r="P81">
        <v>1</v>
      </c>
      <c r="Q81">
        <v>0</v>
      </c>
      <c r="R81">
        <v>0</v>
      </c>
      <c r="S81">
        <v>0</v>
      </c>
      <c r="T81">
        <v>0</v>
      </c>
      <c r="U81">
        <f>IF(openpolis_patrimoni_trasparenti_anno_2014[[#This Row],[totale_730_dichiarante]]&lt;&gt;0,LOG10(openpolis_patrimoni_trasparenti_anno_2014[[#This Row],[totale_730_dichiarante]]), 0)</f>
        <v>4.9065235902853255</v>
      </c>
    </row>
    <row r="82" spans="1:21" x14ac:dyDescent="0.3">
      <c r="A82">
        <v>622140</v>
      </c>
      <c r="B82" s="1" t="s">
        <v>240</v>
      </c>
      <c r="C82" s="1" t="s">
        <v>241</v>
      </c>
      <c r="D82" s="2">
        <v>21160</v>
      </c>
      <c r="E82" s="1" t="s">
        <v>29</v>
      </c>
      <c r="F82" s="1" t="s">
        <v>67</v>
      </c>
      <c r="G82" s="1" t="s">
        <v>24</v>
      </c>
      <c r="H82" s="1" t="s">
        <v>24</v>
      </c>
      <c r="I82" s="1" t="s">
        <v>111</v>
      </c>
      <c r="J82">
        <v>127229</v>
      </c>
      <c r="K82">
        <v>0</v>
      </c>
      <c r="L82">
        <v>0</v>
      </c>
      <c r="M82">
        <v>0</v>
      </c>
      <c r="N82">
        <v>3</v>
      </c>
      <c r="O82" s="1" t="s">
        <v>32</v>
      </c>
      <c r="P82">
        <v>2</v>
      </c>
      <c r="Q82">
        <v>0</v>
      </c>
      <c r="R82">
        <v>0</v>
      </c>
      <c r="S82">
        <v>0</v>
      </c>
      <c r="T82">
        <v>0</v>
      </c>
      <c r="U82">
        <f>IF(openpolis_patrimoni_trasparenti_anno_2014[[#This Row],[totale_730_dichiarante]]&lt;&gt;0,LOG10(openpolis_patrimoni_trasparenti_anno_2014[[#This Row],[totale_730_dichiarante]]), 0)</f>
        <v>5.1045861137062243</v>
      </c>
    </row>
    <row r="83" spans="1:21" x14ac:dyDescent="0.3">
      <c r="A83">
        <v>655704</v>
      </c>
      <c r="B83" s="1" t="s">
        <v>242</v>
      </c>
      <c r="C83" s="1" t="s">
        <v>243</v>
      </c>
      <c r="D83" s="2">
        <v>26577</v>
      </c>
      <c r="E83" s="1" t="s">
        <v>29</v>
      </c>
      <c r="F83" s="1" t="s">
        <v>67</v>
      </c>
      <c r="G83" s="1" t="s">
        <v>24</v>
      </c>
      <c r="H83" s="1" t="s">
        <v>24</v>
      </c>
      <c r="I83" s="1" t="s">
        <v>58</v>
      </c>
      <c r="J83">
        <v>101489</v>
      </c>
      <c r="K83">
        <v>11618</v>
      </c>
      <c r="L83">
        <v>0</v>
      </c>
      <c r="M83">
        <v>0</v>
      </c>
      <c r="N83">
        <v>3</v>
      </c>
      <c r="O83" s="1" t="s">
        <v>32</v>
      </c>
      <c r="P83">
        <v>13</v>
      </c>
      <c r="Q83">
        <v>25</v>
      </c>
      <c r="R83">
        <v>1</v>
      </c>
      <c r="S83">
        <v>0</v>
      </c>
      <c r="T83">
        <v>0</v>
      </c>
      <c r="U83">
        <f>IF(openpolis_patrimoni_trasparenti_anno_2014[[#This Row],[totale_730_dichiarante]]&lt;&gt;0,LOG10(openpolis_patrimoni_trasparenti_anno_2014[[#This Row],[totale_730_dichiarante]]), 0)</f>
        <v>5.0064189733015976</v>
      </c>
    </row>
    <row r="84" spans="1:21" x14ac:dyDescent="0.3">
      <c r="A84">
        <v>481664</v>
      </c>
      <c r="B84" s="1" t="s">
        <v>244</v>
      </c>
      <c r="C84" s="1" t="s">
        <v>245</v>
      </c>
      <c r="D84" s="2">
        <v>29374</v>
      </c>
      <c r="E84" s="1" t="s">
        <v>49</v>
      </c>
      <c r="F84" s="1" t="s">
        <v>30</v>
      </c>
      <c r="G84" s="1" t="s">
        <v>24</v>
      </c>
      <c r="H84" s="1" t="s">
        <v>24</v>
      </c>
      <c r="I84" s="1" t="s">
        <v>72</v>
      </c>
      <c r="J84">
        <v>86018</v>
      </c>
      <c r="K84">
        <v>0</v>
      </c>
      <c r="L84">
        <v>0</v>
      </c>
      <c r="M84">
        <v>0</v>
      </c>
      <c r="N84">
        <v>2</v>
      </c>
      <c r="O84" s="1" t="s">
        <v>43</v>
      </c>
      <c r="P84">
        <v>0</v>
      </c>
      <c r="Q84">
        <v>0</v>
      </c>
      <c r="R84">
        <v>1</v>
      </c>
      <c r="S84">
        <v>2</v>
      </c>
      <c r="T84">
        <v>0</v>
      </c>
      <c r="U84">
        <f>IF(openpolis_patrimoni_trasparenti_anno_2014[[#This Row],[totale_730_dichiarante]]&lt;&gt;0,LOG10(openpolis_patrimoni_trasparenti_anno_2014[[#This Row],[totale_730_dichiarante]]), 0)</f>
        <v>4.9345893405772747</v>
      </c>
    </row>
    <row r="85" spans="1:21" x14ac:dyDescent="0.3">
      <c r="A85">
        <v>122921</v>
      </c>
      <c r="B85" s="1" t="s">
        <v>246</v>
      </c>
      <c r="C85" s="1" t="s">
        <v>247</v>
      </c>
      <c r="D85" s="2">
        <v>22033</v>
      </c>
      <c r="E85" s="1" t="s">
        <v>29</v>
      </c>
      <c r="F85" s="1" t="s">
        <v>23</v>
      </c>
      <c r="G85" s="1" t="s">
        <v>24</v>
      </c>
      <c r="H85" s="1" t="s">
        <v>25</v>
      </c>
      <c r="I85" s="1" t="s">
        <v>25</v>
      </c>
      <c r="J85">
        <v>104888</v>
      </c>
      <c r="K85">
        <v>13691</v>
      </c>
      <c r="L85">
        <v>0</v>
      </c>
      <c r="M85">
        <v>0</v>
      </c>
      <c r="N85">
        <v>1</v>
      </c>
      <c r="O85" s="1" t="s">
        <v>119</v>
      </c>
      <c r="P85">
        <v>5</v>
      </c>
      <c r="Q85">
        <v>2</v>
      </c>
      <c r="R85">
        <v>0</v>
      </c>
      <c r="S85">
        <v>0</v>
      </c>
      <c r="T85">
        <v>0</v>
      </c>
      <c r="U85">
        <f>IF(openpolis_patrimoni_trasparenti_anno_2014[[#This Row],[totale_730_dichiarante]]&lt;&gt;0,LOG10(openpolis_patrimoni_trasparenti_anno_2014[[#This Row],[totale_730_dichiarante]]), 0)</f>
        <v>5.0207258043814376</v>
      </c>
    </row>
    <row r="86" spans="1:21" x14ac:dyDescent="0.3">
      <c r="A86">
        <v>275008</v>
      </c>
      <c r="B86" s="1" t="s">
        <v>198</v>
      </c>
      <c r="C86" s="1" t="s">
        <v>248</v>
      </c>
      <c r="D86" s="2">
        <v>24269</v>
      </c>
      <c r="E86" s="1" t="s">
        <v>249</v>
      </c>
      <c r="F86" s="1" t="s">
        <v>23</v>
      </c>
      <c r="G86" s="1" t="s">
        <v>24</v>
      </c>
      <c r="H86" s="1" t="s">
        <v>25</v>
      </c>
      <c r="I86" s="1" t="s">
        <v>25</v>
      </c>
      <c r="J86">
        <v>30015</v>
      </c>
      <c r="K86">
        <v>0</v>
      </c>
      <c r="L86">
        <v>0</v>
      </c>
      <c r="M86">
        <v>0</v>
      </c>
      <c r="N86">
        <v>2</v>
      </c>
      <c r="O86" s="1" t="s">
        <v>43</v>
      </c>
      <c r="P86">
        <v>1</v>
      </c>
      <c r="Q86">
        <v>0</v>
      </c>
      <c r="R86">
        <v>0</v>
      </c>
      <c r="S86">
        <v>0</v>
      </c>
      <c r="T86">
        <v>0</v>
      </c>
      <c r="U86">
        <f>IF(openpolis_patrimoni_trasparenti_anno_2014[[#This Row],[totale_730_dichiarante]]&lt;&gt;0,LOG10(openpolis_patrimoni_trasparenti_anno_2014[[#This Row],[totale_730_dichiarante]]), 0)</f>
        <v>4.4773383476918927</v>
      </c>
    </row>
    <row r="87" spans="1:21" x14ac:dyDescent="0.3">
      <c r="A87">
        <v>715873</v>
      </c>
      <c r="B87" s="1" t="s">
        <v>250</v>
      </c>
      <c r="C87" s="1" t="s">
        <v>251</v>
      </c>
      <c r="D87" s="2">
        <v>18951</v>
      </c>
      <c r="E87" s="1" t="s">
        <v>35</v>
      </c>
      <c r="F87" s="1" t="s">
        <v>23</v>
      </c>
      <c r="G87" s="1" t="s">
        <v>252</v>
      </c>
      <c r="H87" s="1" t="s">
        <v>25</v>
      </c>
      <c r="I87" s="1" t="s">
        <v>25</v>
      </c>
      <c r="J87">
        <v>193786</v>
      </c>
      <c r="K87">
        <v>10573</v>
      </c>
      <c r="L87">
        <v>0</v>
      </c>
      <c r="M87">
        <v>0</v>
      </c>
      <c r="N87">
        <v>1</v>
      </c>
      <c r="O87" s="1" t="s">
        <v>119</v>
      </c>
      <c r="P87">
        <v>2</v>
      </c>
      <c r="Q87">
        <v>2</v>
      </c>
      <c r="R87">
        <v>3</v>
      </c>
      <c r="S87">
        <v>0</v>
      </c>
      <c r="T87">
        <v>0</v>
      </c>
      <c r="U87">
        <f>IF(openpolis_patrimoni_trasparenti_anno_2014[[#This Row],[totale_730_dichiarante]]&lt;&gt;0,LOG10(openpolis_patrimoni_trasparenti_anno_2014[[#This Row],[totale_730_dichiarante]]), 0)</f>
        <v>5.2873223983991142</v>
      </c>
    </row>
    <row r="88" spans="1:21" x14ac:dyDescent="0.3">
      <c r="A88">
        <v>437</v>
      </c>
      <c r="B88" s="1" t="s">
        <v>253</v>
      </c>
      <c r="C88" s="1" t="s">
        <v>254</v>
      </c>
      <c r="D88" s="2">
        <v>22477</v>
      </c>
      <c r="E88" s="1" t="s">
        <v>249</v>
      </c>
      <c r="F88" s="1" t="s">
        <v>23</v>
      </c>
      <c r="G88" s="1" t="s">
        <v>167</v>
      </c>
      <c r="H88" s="1" t="s">
        <v>25</v>
      </c>
      <c r="I88" s="1" t="s">
        <v>25</v>
      </c>
      <c r="J88">
        <v>137353</v>
      </c>
      <c r="K88">
        <v>99571</v>
      </c>
      <c r="L88">
        <v>99000</v>
      </c>
      <c r="M88">
        <v>72795.5</v>
      </c>
      <c r="N88">
        <v>1</v>
      </c>
      <c r="O88" s="1" t="s">
        <v>255</v>
      </c>
      <c r="P88">
        <v>2</v>
      </c>
      <c r="Q88">
        <v>0</v>
      </c>
      <c r="R88">
        <v>3</v>
      </c>
      <c r="S88">
        <v>2</v>
      </c>
      <c r="T88">
        <v>2</v>
      </c>
      <c r="U88">
        <f>IF(openpolis_patrimoni_trasparenti_anno_2014[[#This Row],[totale_730_dichiarante]]&lt;&gt;0,LOG10(openpolis_patrimoni_trasparenti_anno_2014[[#This Row],[totale_730_dichiarante]]), 0)</f>
        <v>5.1378381495171714</v>
      </c>
    </row>
    <row r="89" spans="1:21" x14ac:dyDescent="0.3">
      <c r="A89">
        <v>689267</v>
      </c>
      <c r="B89" s="1" t="s">
        <v>233</v>
      </c>
      <c r="C89" s="1" t="s">
        <v>256</v>
      </c>
      <c r="D89" s="2">
        <v>26763</v>
      </c>
      <c r="E89" s="1" t="s">
        <v>35</v>
      </c>
      <c r="F89" s="1" t="s">
        <v>23</v>
      </c>
      <c r="G89" s="1" t="s">
        <v>68</v>
      </c>
      <c r="H89" s="1" t="s">
        <v>25</v>
      </c>
      <c r="I89" s="1" t="s">
        <v>25</v>
      </c>
      <c r="J89">
        <v>363562</v>
      </c>
      <c r="K89">
        <v>0</v>
      </c>
      <c r="L89">
        <v>0</v>
      </c>
      <c r="M89">
        <v>0</v>
      </c>
      <c r="N89">
        <v>2</v>
      </c>
      <c r="O89" s="1" t="s">
        <v>43</v>
      </c>
      <c r="P89">
        <v>0</v>
      </c>
      <c r="Q89">
        <v>0</v>
      </c>
      <c r="R89">
        <v>0</v>
      </c>
      <c r="S89">
        <v>2</v>
      </c>
      <c r="T89">
        <v>0</v>
      </c>
      <c r="U89">
        <f>IF(openpolis_patrimoni_trasparenti_anno_2014[[#This Row],[totale_730_dichiarante]]&lt;&gt;0,LOG10(openpolis_patrimoni_trasparenti_anno_2014[[#This Row],[totale_730_dichiarante]]), 0)</f>
        <v>5.5605784838657977</v>
      </c>
    </row>
    <row r="90" spans="1:21" x14ac:dyDescent="0.3">
      <c r="A90">
        <v>715868</v>
      </c>
      <c r="B90" s="1" t="s">
        <v>257</v>
      </c>
      <c r="C90" s="1" t="s">
        <v>258</v>
      </c>
      <c r="D90" s="2">
        <v>25342</v>
      </c>
      <c r="E90" s="1" t="s">
        <v>35</v>
      </c>
      <c r="F90" s="1" t="s">
        <v>23</v>
      </c>
      <c r="G90" s="1" t="s">
        <v>252</v>
      </c>
      <c r="H90" s="1" t="s">
        <v>25</v>
      </c>
      <c r="I90" s="1" t="s">
        <v>25</v>
      </c>
      <c r="J90">
        <v>278508</v>
      </c>
      <c r="K90">
        <v>0</v>
      </c>
      <c r="L90">
        <v>0</v>
      </c>
      <c r="M90">
        <v>0</v>
      </c>
      <c r="N90">
        <v>2</v>
      </c>
      <c r="O90" s="1" t="s">
        <v>43</v>
      </c>
      <c r="P90">
        <v>4</v>
      </c>
      <c r="Q90">
        <v>5</v>
      </c>
      <c r="R90">
        <v>0</v>
      </c>
      <c r="S90">
        <v>5</v>
      </c>
      <c r="T90">
        <v>6</v>
      </c>
      <c r="U90">
        <f>IF(openpolis_patrimoni_trasparenti_anno_2014[[#This Row],[totale_730_dichiarante]]&lt;&gt;0,LOG10(openpolis_patrimoni_trasparenti_anno_2014[[#This Row],[totale_730_dichiarante]]), 0)</f>
        <v>5.4448376745760143</v>
      </c>
    </row>
    <row r="91" spans="1:21" x14ac:dyDescent="0.3">
      <c r="A91">
        <v>715866</v>
      </c>
      <c r="B91" s="1" t="s">
        <v>259</v>
      </c>
      <c r="C91" s="1" t="s">
        <v>260</v>
      </c>
      <c r="D91" s="2">
        <v>18282</v>
      </c>
      <c r="E91" s="1" t="s">
        <v>29</v>
      </c>
      <c r="F91" s="1" t="s">
        <v>23</v>
      </c>
      <c r="G91" s="1" t="s">
        <v>252</v>
      </c>
      <c r="H91" s="1" t="s">
        <v>25</v>
      </c>
      <c r="I91" s="1" t="s">
        <v>25</v>
      </c>
      <c r="J91">
        <v>216000</v>
      </c>
      <c r="K91">
        <v>49930</v>
      </c>
      <c r="L91">
        <v>0</v>
      </c>
      <c r="M91">
        <v>0</v>
      </c>
      <c r="N91">
        <v>1</v>
      </c>
      <c r="O91" s="1" t="s">
        <v>119</v>
      </c>
      <c r="P91">
        <v>2</v>
      </c>
      <c r="Q91">
        <v>0</v>
      </c>
      <c r="R91">
        <v>1</v>
      </c>
      <c r="S91">
        <v>0</v>
      </c>
      <c r="T91">
        <v>0</v>
      </c>
      <c r="U91">
        <f>IF(openpolis_patrimoni_trasparenti_anno_2014[[#This Row],[totale_730_dichiarante]]&lt;&gt;0,LOG10(openpolis_patrimoni_trasparenti_anno_2014[[#This Row],[totale_730_dichiarante]]), 0)</f>
        <v>5.3344537511509307</v>
      </c>
    </row>
    <row r="92" spans="1:21" x14ac:dyDescent="0.3">
      <c r="A92">
        <v>169</v>
      </c>
      <c r="B92" s="1" t="s">
        <v>261</v>
      </c>
      <c r="C92" s="1" t="s">
        <v>262</v>
      </c>
      <c r="D92" s="2">
        <v>23113</v>
      </c>
      <c r="E92" s="1" t="s">
        <v>249</v>
      </c>
      <c r="F92" s="1" t="s">
        <v>176</v>
      </c>
      <c r="G92" s="1" t="s">
        <v>263</v>
      </c>
      <c r="H92" s="1" t="s">
        <v>25</v>
      </c>
      <c r="I92" s="1" t="s">
        <v>264</v>
      </c>
      <c r="J92">
        <v>118888</v>
      </c>
      <c r="K92">
        <v>0</v>
      </c>
      <c r="L92">
        <v>0</v>
      </c>
      <c r="M92">
        <v>0</v>
      </c>
      <c r="N92">
        <v>2</v>
      </c>
      <c r="O92" s="1" t="s">
        <v>195</v>
      </c>
      <c r="P92">
        <v>0</v>
      </c>
      <c r="Q92">
        <v>0</v>
      </c>
      <c r="R92">
        <v>6</v>
      </c>
      <c r="S92">
        <v>1</v>
      </c>
      <c r="T92">
        <v>0</v>
      </c>
      <c r="U92">
        <f>IF(openpolis_patrimoni_trasparenti_anno_2014[[#This Row],[totale_730_dichiarante]]&lt;&gt;0,LOG10(openpolis_patrimoni_trasparenti_anno_2014[[#This Row],[totale_730_dichiarante]]), 0)</f>
        <v>5.075138021172199</v>
      </c>
    </row>
    <row r="93" spans="1:21" x14ac:dyDescent="0.3">
      <c r="A93">
        <v>609</v>
      </c>
      <c r="B93" s="1" t="s">
        <v>265</v>
      </c>
      <c r="C93" s="1" t="s">
        <v>266</v>
      </c>
      <c r="D93" s="2">
        <v>25242</v>
      </c>
      <c r="E93" s="1" t="s">
        <v>22</v>
      </c>
      <c r="F93" s="1" t="s">
        <v>176</v>
      </c>
      <c r="G93" s="1" t="s">
        <v>177</v>
      </c>
      <c r="H93" s="1" t="s">
        <v>25</v>
      </c>
      <c r="I93" s="1" t="s">
        <v>31</v>
      </c>
      <c r="J93">
        <v>123461</v>
      </c>
      <c r="K93">
        <v>0</v>
      </c>
      <c r="L93">
        <v>0</v>
      </c>
      <c r="M93">
        <v>0</v>
      </c>
      <c r="N93">
        <v>2</v>
      </c>
      <c r="O93" s="1" t="s">
        <v>195</v>
      </c>
      <c r="P93">
        <v>2</v>
      </c>
      <c r="Q93">
        <v>0</v>
      </c>
      <c r="R93">
        <v>1</v>
      </c>
      <c r="S93">
        <v>0</v>
      </c>
      <c r="T93">
        <v>0</v>
      </c>
      <c r="U93">
        <f>IF(openpolis_patrimoni_trasparenti_anno_2014[[#This Row],[totale_730_dichiarante]]&lt;&gt;0,LOG10(openpolis_patrimoni_trasparenti_anno_2014[[#This Row],[totale_730_dichiarante]]), 0)</f>
        <v>5.0915297903106875</v>
      </c>
    </row>
    <row r="94" spans="1:21" x14ac:dyDescent="0.3">
      <c r="A94">
        <v>241758</v>
      </c>
      <c r="B94" s="1" t="s">
        <v>267</v>
      </c>
      <c r="C94" s="1" t="s">
        <v>268</v>
      </c>
      <c r="D94" s="2">
        <v>30122</v>
      </c>
      <c r="E94" s="1" t="s">
        <v>114</v>
      </c>
      <c r="F94" s="1" t="s">
        <v>176</v>
      </c>
      <c r="G94" s="1" t="s">
        <v>177</v>
      </c>
      <c r="H94" s="1" t="s">
        <v>25</v>
      </c>
      <c r="I94" s="1" t="s">
        <v>46</v>
      </c>
      <c r="J94">
        <v>93157</v>
      </c>
      <c r="K94">
        <v>0</v>
      </c>
      <c r="L94">
        <v>0</v>
      </c>
      <c r="M94">
        <v>0</v>
      </c>
      <c r="N94">
        <v>2</v>
      </c>
      <c r="O94" s="1" t="s">
        <v>195</v>
      </c>
      <c r="P94">
        <v>1</v>
      </c>
      <c r="Q94">
        <v>0</v>
      </c>
      <c r="R94">
        <v>1</v>
      </c>
      <c r="S94">
        <v>1</v>
      </c>
      <c r="T94">
        <v>0</v>
      </c>
      <c r="U94">
        <f>IF(openpolis_patrimoni_trasparenti_anno_2014[[#This Row],[totale_730_dichiarante]]&lt;&gt;0,LOG10(openpolis_patrimoni_trasparenti_anno_2014[[#This Row],[totale_730_dichiarante]]), 0)</f>
        <v>4.9692154941990072</v>
      </c>
    </row>
    <row r="95" spans="1:21" x14ac:dyDescent="0.3">
      <c r="A95">
        <v>4577</v>
      </c>
      <c r="B95" s="1" t="s">
        <v>269</v>
      </c>
      <c r="C95" s="1" t="s">
        <v>270</v>
      </c>
      <c r="D95" s="2">
        <v>16271</v>
      </c>
      <c r="E95" s="1" t="s">
        <v>75</v>
      </c>
      <c r="F95" s="1" t="s">
        <v>67</v>
      </c>
      <c r="G95" s="1" t="s">
        <v>36</v>
      </c>
      <c r="H95" s="1" t="s">
        <v>37</v>
      </c>
      <c r="I95" s="1" t="s">
        <v>271</v>
      </c>
      <c r="J95">
        <v>205574</v>
      </c>
      <c r="K95">
        <v>0</v>
      </c>
      <c r="L95">
        <v>0</v>
      </c>
      <c r="M95">
        <v>0</v>
      </c>
      <c r="N95">
        <v>3</v>
      </c>
      <c r="O95" s="1" t="s">
        <v>32</v>
      </c>
      <c r="P95">
        <v>1</v>
      </c>
      <c r="Q95">
        <v>0</v>
      </c>
      <c r="R95">
        <v>1</v>
      </c>
      <c r="S95">
        <v>0</v>
      </c>
      <c r="T95">
        <v>0</v>
      </c>
      <c r="U95">
        <f>IF(openpolis_patrimoni_trasparenti_anno_2014[[#This Row],[totale_730_dichiarante]]&lt;&gt;0,LOG10(openpolis_patrimoni_trasparenti_anno_2014[[#This Row],[totale_730_dichiarante]]), 0)</f>
        <v>5.3129681863419336</v>
      </c>
    </row>
    <row r="96" spans="1:21" x14ac:dyDescent="0.3">
      <c r="A96">
        <v>6877</v>
      </c>
      <c r="B96" s="1" t="s">
        <v>99</v>
      </c>
      <c r="C96" s="1" t="s">
        <v>272</v>
      </c>
      <c r="D96" s="2">
        <v>27405</v>
      </c>
      <c r="E96" s="1" t="s">
        <v>49</v>
      </c>
      <c r="F96" s="1" t="s">
        <v>23</v>
      </c>
      <c r="G96" s="1" t="s">
        <v>24</v>
      </c>
      <c r="H96" s="1" t="s">
        <v>25</v>
      </c>
      <c r="I96" s="1" t="s">
        <v>25</v>
      </c>
      <c r="J96">
        <v>99928</v>
      </c>
      <c r="K96">
        <v>10971</v>
      </c>
      <c r="L96">
        <v>0</v>
      </c>
      <c r="M96">
        <v>0</v>
      </c>
      <c r="N96">
        <v>1</v>
      </c>
      <c r="O96" s="1" t="s">
        <v>273</v>
      </c>
      <c r="P96">
        <v>3</v>
      </c>
      <c r="Q96">
        <v>1</v>
      </c>
      <c r="R96">
        <v>0</v>
      </c>
      <c r="S96">
        <v>0</v>
      </c>
      <c r="T96">
        <v>0</v>
      </c>
      <c r="U96">
        <f>IF(openpolis_patrimoni_trasparenti_anno_2014[[#This Row],[totale_730_dichiarante]]&lt;&gt;0,LOG10(openpolis_patrimoni_trasparenti_anno_2014[[#This Row],[totale_730_dichiarante]]), 0)</f>
        <v>4.9996871953498374</v>
      </c>
    </row>
    <row r="97" spans="1:21" x14ac:dyDescent="0.3">
      <c r="A97">
        <v>286531</v>
      </c>
      <c r="B97" s="1" t="s">
        <v>274</v>
      </c>
      <c r="C97" s="1" t="s">
        <v>275</v>
      </c>
      <c r="D97" s="2">
        <v>24499</v>
      </c>
      <c r="E97" s="1" t="s">
        <v>49</v>
      </c>
      <c r="F97" s="1" t="s">
        <v>67</v>
      </c>
      <c r="G97" s="1" t="s">
        <v>36</v>
      </c>
      <c r="H97" s="1" t="s">
        <v>93</v>
      </c>
      <c r="I97" s="1" t="s">
        <v>115</v>
      </c>
      <c r="J97">
        <v>91393</v>
      </c>
      <c r="K97">
        <v>0</v>
      </c>
      <c r="L97">
        <v>0</v>
      </c>
      <c r="M97">
        <v>0</v>
      </c>
      <c r="N97">
        <v>3</v>
      </c>
      <c r="O97" s="1" t="s">
        <v>32</v>
      </c>
      <c r="P97">
        <v>8</v>
      </c>
      <c r="Q97">
        <v>0</v>
      </c>
      <c r="R97">
        <v>0</v>
      </c>
      <c r="S97">
        <v>0</v>
      </c>
      <c r="T97">
        <v>0</v>
      </c>
      <c r="U97">
        <f>IF(openpolis_patrimoni_trasparenti_anno_2014[[#This Row],[totale_730_dichiarante]]&lt;&gt;0,LOG10(openpolis_patrimoni_trasparenti_anno_2014[[#This Row],[totale_730_dichiarante]]), 0)</f>
        <v>4.9609129333947397</v>
      </c>
    </row>
    <row r="98" spans="1:21" x14ac:dyDescent="0.3">
      <c r="A98">
        <v>687168</v>
      </c>
      <c r="B98" s="1" t="s">
        <v>276</v>
      </c>
      <c r="C98" s="1" t="s">
        <v>277</v>
      </c>
      <c r="D98" s="2">
        <v>16752</v>
      </c>
      <c r="E98" s="1" t="s">
        <v>75</v>
      </c>
      <c r="F98" s="1" t="s">
        <v>67</v>
      </c>
      <c r="G98" s="1" t="s">
        <v>278</v>
      </c>
      <c r="H98" s="1" t="s">
        <v>279</v>
      </c>
      <c r="I98" s="1" t="s">
        <v>280</v>
      </c>
      <c r="J98">
        <v>389559.3</v>
      </c>
      <c r="K98">
        <v>0</v>
      </c>
      <c r="L98">
        <v>0</v>
      </c>
      <c r="M98">
        <v>0</v>
      </c>
      <c r="N98">
        <v>2</v>
      </c>
      <c r="O98" s="1" t="s">
        <v>43</v>
      </c>
      <c r="P98">
        <v>1</v>
      </c>
      <c r="Q98">
        <v>0</v>
      </c>
      <c r="R98">
        <v>1</v>
      </c>
      <c r="S98">
        <v>0</v>
      </c>
      <c r="T98">
        <v>0</v>
      </c>
      <c r="U98">
        <f>IF(openpolis_patrimoni_trasparenti_anno_2014[[#This Row],[totale_730_dichiarante]]&lt;&gt;0,LOG10(openpolis_patrimoni_trasparenti_anno_2014[[#This Row],[totale_730_dichiarante]]), 0)</f>
        <v>5.5905735767775786</v>
      </c>
    </row>
    <row r="99" spans="1:21" x14ac:dyDescent="0.3">
      <c r="A99">
        <v>795</v>
      </c>
      <c r="B99" s="1" t="s">
        <v>281</v>
      </c>
      <c r="C99" s="1" t="s">
        <v>282</v>
      </c>
      <c r="D99" s="2">
        <v>22290</v>
      </c>
      <c r="E99" s="1" t="s">
        <v>41</v>
      </c>
      <c r="F99" s="1" t="s">
        <v>67</v>
      </c>
      <c r="G99" s="1" t="s">
        <v>283</v>
      </c>
      <c r="H99" s="1" t="s">
        <v>279</v>
      </c>
      <c r="I99" s="1" t="s">
        <v>284</v>
      </c>
      <c r="J99">
        <v>504008</v>
      </c>
      <c r="K99">
        <v>0</v>
      </c>
      <c r="L99">
        <v>0</v>
      </c>
      <c r="M99">
        <v>0</v>
      </c>
      <c r="N99">
        <v>3</v>
      </c>
      <c r="O99" s="1" t="s">
        <v>83</v>
      </c>
      <c r="P99">
        <v>4</v>
      </c>
      <c r="Q99">
        <v>3</v>
      </c>
      <c r="R99">
        <v>4</v>
      </c>
      <c r="S99">
        <v>2</v>
      </c>
      <c r="T99">
        <v>0</v>
      </c>
      <c r="U99">
        <f>IF(openpolis_patrimoni_trasparenti_anno_2014[[#This Row],[totale_730_dichiarante]]&lt;&gt;0,LOG10(openpolis_patrimoni_trasparenti_anno_2014[[#This Row],[totale_730_dichiarante]]), 0)</f>
        <v>5.7024374299540197</v>
      </c>
    </row>
    <row r="100" spans="1:21" x14ac:dyDescent="0.3">
      <c r="A100">
        <v>1767</v>
      </c>
      <c r="B100" s="1" t="s">
        <v>196</v>
      </c>
      <c r="C100" s="1" t="s">
        <v>285</v>
      </c>
      <c r="D100" s="2">
        <v>23275</v>
      </c>
      <c r="E100" s="1" t="s">
        <v>156</v>
      </c>
      <c r="F100" s="1" t="s">
        <v>67</v>
      </c>
      <c r="G100" s="1" t="s">
        <v>24</v>
      </c>
      <c r="H100" s="1" t="s">
        <v>24</v>
      </c>
      <c r="I100" s="1" t="s">
        <v>286</v>
      </c>
      <c r="J100">
        <v>278302</v>
      </c>
      <c r="K100">
        <v>0</v>
      </c>
      <c r="L100">
        <v>0</v>
      </c>
      <c r="M100">
        <v>0</v>
      </c>
      <c r="N100">
        <v>3</v>
      </c>
      <c r="O100" s="1" t="s">
        <v>32</v>
      </c>
      <c r="P100">
        <v>7</v>
      </c>
      <c r="Q100">
        <v>5</v>
      </c>
      <c r="R100">
        <v>2</v>
      </c>
      <c r="S100">
        <v>0</v>
      </c>
      <c r="T100">
        <v>0</v>
      </c>
      <c r="U100">
        <f>IF(openpolis_patrimoni_trasparenti_anno_2014[[#This Row],[totale_730_dichiarante]]&lt;&gt;0,LOG10(openpolis_patrimoni_trasparenti_anno_2014[[#This Row],[totale_730_dichiarante]]), 0)</f>
        <v>5.4445163273755188</v>
      </c>
    </row>
    <row r="101" spans="1:21" x14ac:dyDescent="0.3">
      <c r="A101">
        <v>159404</v>
      </c>
      <c r="B101" s="1" t="s">
        <v>287</v>
      </c>
      <c r="C101" s="1" t="s">
        <v>288</v>
      </c>
      <c r="D101" s="2">
        <v>20351</v>
      </c>
      <c r="E101" s="1" t="s">
        <v>63</v>
      </c>
      <c r="F101" s="1" t="s">
        <v>67</v>
      </c>
      <c r="G101" s="1" t="s">
        <v>24</v>
      </c>
      <c r="H101" s="1" t="s">
        <v>24</v>
      </c>
      <c r="I101" s="1" t="s">
        <v>69</v>
      </c>
      <c r="J101">
        <v>84804</v>
      </c>
      <c r="K101">
        <v>0</v>
      </c>
      <c r="L101">
        <v>0</v>
      </c>
      <c r="M101">
        <v>0</v>
      </c>
      <c r="N101">
        <v>2</v>
      </c>
      <c r="O101" s="1" t="s">
        <v>43</v>
      </c>
      <c r="P101">
        <v>3</v>
      </c>
      <c r="Q101">
        <v>1</v>
      </c>
      <c r="R101">
        <v>1</v>
      </c>
      <c r="S101">
        <v>1</v>
      </c>
      <c r="T101">
        <v>1</v>
      </c>
      <c r="U101">
        <f>IF(openpolis_patrimoni_trasparenti_anno_2014[[#This Row],[totale_730_dichiarante]]&lt;&gt;0,LOG10(openpolis_patrimoni_trasparenti_anno_2014[[#This Row],[totale_730_dichiarante]]), 0)</f>
        <v>4.9284163373623473</v>
      </c>
    </row>
    <row r="102" spans="1:21" x14ac:dyDescent="0.3">
      <c r="A102">
        <v>1764</v>
      </c>
      <c r="B102" s="1" t="s">
        <v>289</v>
      </c>
      <c r="C102" s="1" t="s">
        <v>290</v>
      </c>
      <c r="D102" s="2">
        <v>15673</v>
      </c>
      <c r="E102" s="1" t="s">
        <v>41</v>
      </c>
      <c r="F102" s="1" t="s">
        <v>67</v>
      </c>
      <c r="G102" s="1" t="s">
        <v>24</v>
      </c>
      <c r="H102" s="1" t="s">
        <v>24</v>
      </c>
      <c r="I102" s="1" t="s">
        <v>291</v>
      </c>
      <c r="J102">
        <v>141442</v>
      </c>
      <c r="K102">
        <v>0</v>
      </c>
      <c r="L102">
        <v>0</v>
      </c>
      <c r="M102">
        <v>0</v>
      </c>
      <c r="N102">
        <v>3</v>
      </c>
      <c r="O102" s="1" t="s">
        <v>32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f>IF(openpolis_patrimoni_trasparenti_anno_2014[[#This Row],[totale_730_dichiarante]]&lt;&gt;0,LOG10(openpolis_patrimoni_trasparenti_anno_2014[[#This Row],[totale_730_dichiarante]]), 0)</f>
        <v>5.1505783886674621</v>
      </c>
    </row>
    <row r="103" spans="1:21" x14ac:dyDescent="0.3">
      <c r="A103">
        <v>332950</v>
      </c>
      <c r="B103" s="1" t="s">
        <v>292</v>
      </c>
      <c r="C103" s="1" t="s">
        <v>293</v>
      </c>
      <c r="D103" s="2">
        <v>21973</v>
      </c>
      <c r="E103" s="1" t="s">
        <v>22</v>
      </c>
      <c r="F103" s="1" t="s">
        <v>67</v>
      </c>
      <c r="G103" s="1" t="s">
        <v>53</v>
      </c>
      <c r="H103" s="1" t="s">
        <v>53</v>
      </c>
      <c r="I103" s="1" t="s">
        <v>271</v>
      </c>
      <c r="J103">
        <v>101541</v>
      </c>
      <c r="K103">
        <v>0</v>
      </c>
      <c r="L103">
        <v>0</v>
      </c>
      <c r="M103">
        <v>0</v>
      </c>
      <c r="N103">
        <v>3</v>
      </c>
      <c r="O103" s="1" t="s">
        <v>32</v>
      </c>
      <c r="P103">
        <v>1</v>
      </c>
      <c r="Q103">
        <v>0</v>
      </c>
      <c r="R103">
        <v>3</v>
      </c>
      <c r="S103">
        <v>0</v>
      </c>
      <c r="T103">
        <v>0</v>
      </c>
      <c r="U103">
        <f>IF(openpolis_patrimoni_trasparenti_anno_2014[[#This Row],[totale_730_dichiarante]]&lt;&gt;0,LOG10(openpolis_patrimoni_trasparenti_anno_2014[[#This Row],[totale_730_dichiarante]]), 0)</f>
        <v>5.0066414361253457</v>
      </c>
    </row>
    <row r="104" spans="1:21" x14ac:dyDescent="0.3">
      <c r="A104">
        <v>778</v>
      </c>
      <c r="B104" s="1" t="s">
        <v>294</v>
      </c>
      <c r="C104" s="1" t="s">
        <v>295</v>
      </c>
      <c r="D104" s="2">
        <v>20529</v>
      </c>
      <c r="E104" s="1" t="s">
        <v>75</v>
      </c>
      <c r="F104" s="1" t="s">
        <v>67</v>
      </c>
      <c r="G104" s="1" t="s">
        <v>36</v>
      </c>
      <c r="H104" s="1" t="s">
        <v>37</v>
      </c>
      <c r="I104" s="1" t="s">
        <v>286</v>
      </c>
      <c r="J104">
        <v>95792</v>
      </c>
      <c r="K104">
        <v>0</v>
      </c>
      <c r="L104">
        <v>0</v>
      </c>
      <c r="M104">
        <v>0</v>
      </c>
      <c r="N104">
        <v>3</v>
      </c>
      <c r="O104" s="1" t="s">
        <v>32</v>
      </c>
      <c r="P104">
        <v>3</v>
      </c>
      <c r="Q104">
        <v>0</v>
      </c>
      <c r="R104">
        <v>6</v>
      </c>
      <c r="S104">
        <v>1</v>
      </c>
      <c r="T104">
        <v>0</v>
      </c>
      <c r="U104">
        <f>IF(openpolis_patrimoni_trasparenti_anno_2014[[#This Row],[totale_730_dichiarante]]&lt;&gt;0,LOG10(openpolis_patrimoni_trasparenti_anno_2014[[#This Row],[totale_730_dichiarante]]), 0)</f>
        <v>4.9813292408016094</v>
      </c>
    </row>
    <row r="105" spans="1:21" x14ac:dyDescent="0.3">
      <c r="A105">
        <v>772</v>
      </c>
      <c r="B105" s="1" t="s">
        <v>296</v>
      </c>
      <c r="C105" s="1" t="s">
        <v>297</v>
      </c>
      <c r="D105" s="2">
        <v>18756</v>
      </c>
      <c r="E105" s="1" t="s">
        <v>249</v>
      </c>
      <c r="F105" s="1" t="s">
        <v>67</v>
      </c>
      <c r="G105" s="1" t="s">
        <v>36</v>
      </c>
      <c r="H105" s="1" t="s">
        <v>298</v>
      </c>
      <c r="I105" s="1" t="s">
        <v>46</v>
      </c>
      <c r="J105">
        <v>101381</v>
      </c>
      <c r="K105">
        <v>0</v>
      </c>
      <c r="L105">
        <v>0</v>
      </c>
      <c r="M105">
        <v>0</v>
      </c>
      <c r="N105">
        <v>3</v>
      </c>
      <c r="O105" s="1" t="s">
        <v>32</v>
      </c>
      <c r="P105">
        <v>1</v>
      </c>
      <c r="Q105">
        <v>2</v>
      </c>
      <c r="R105">
        <v>4</v>
      </c>
      <c r="S105">
        <v>5</v>
      </c>
      <c r="T105">
        <v>1</v>
      </c>
      <c r="U105">
        <f>IF(openpolis_patrimoni_trasparenti_anno_2014[[#This Row],[totale_730_dichiarante]]&lt;&gt;0,LOG10(openpolis_patrimoni_trasparenti_anno_2014[[#This Row],[totale_730_dichiarante]]), 0)</f>
        <v>5.0059565706942486</v>
      </c>
    </row>
    <row r="106" spans="1:21" x14ac:dyDescent="0.3">
      <c r="A106">
        <v>686944</v>
      </c>
      <c r="B106" s="1" t="s">
        <v>299</v>
      </c>
      <c r="C106" s="1" t="s">
        <v>300</v>
      </c>
      <c r="D106" s="2">
        <v>21544</v>
      </c>
      <c r="E106" s="1" t="s">
        <v>22</v>
      </c>
      <c r="F106" s="1" t="s">
        <v>67</v>
      </c>
      <c r="G106" s="1" t="s">
        <v>24</v>
      </c>
      <c r="H106" s="1" t="s">
        <v>24</v>
      </c>
      <c r="I106" s="1" t="s">
        <v>31</v>
      </c>
      <c r="J106">
        <v>96713</v>
      </c>
      <c r="K106">
        <v>0</v>
      </c>
      <c r="L106">
        <v>0</v>
      </c>
      <c r="M106">
        <v>0</v>
      </c>
      <c r="N106">
        <v>2</v>
      </c>
      <c r="O106" s="1" t="s">
        <v>43</v>
      </c>
      <c r="P106">
        <v>5</v>
      </c>
      <c r="Q106">
        <v>0</v>
      </c>
      <c r="R106">
        <v>1</v>
      </c>
      <c r="S106">
        <v>0</v>
      </c>
      <c r="T106">
        <v>0</v>
      </c>
      <c r="U106">
        <f>IF(openpolis_patrimoni_trasparenti_anno_2014[[#This Row],[totale_730_dichiarante]]&lt;&gt;0,LOG10(openpolis_patrimoni_trasparenti_anno_2014[[#This Row],[totale_730_dichiarante]]), 0)</f>
        <v>4.9854848551460451</v>
      </c>
    </row>
    <row r="107" spans="1:21" x14ac:dyDescent="0.3">
      <c r="A107">
        <v>728635</v>
      </c>
      <c r="B107" s="1" t="s">
        <v>27</v>
      </c>
      <c r="C107" s="1" t="s">
        <v>301</v>
      </c>
      <c r="D107" s="2">
        <v>21905</v>
      </c>
      <c r="E107" s="1" t="s">
        <v>136</v>
      </c>
      <c r="F107" s="1" t="s">
        <v>67</v>
      </c>
      <c r="G107" s="1" t="s">
        <v>24</v>
      </c>
      <c r="H107" s="1" t="s">
        <v>24</v>
      </c>
      <c r="I107" s="1" t="s">
        <v>111</v>
      </c>
      <c r="J107">
        <v>33799</v>
      </c>
      <c r="K107">
        <v>0</v>
      </c>
      <c r="L107">
        <v>0</v>
      </c>
      <c r="M107">
        <v>0</v>
      </c>
      <c r="N107">
        <v>3</v>
      </c>
      <c r="O107" s="1" t="s">
        <v>61</v>
      </c>
      <c r="P107">
        <v>5</v>
      </c>
      <c r="Q107">
        <v>0</v>
      </c>
      <c r="R107">
        <v>1</v>
      </c>
      <c r="S107">
        <v>1</v>
      </c>
      <c r="T107">
        <v>0</v>
      </c>
      <c r="U107">
        <f>IF(openpolis_patrimoni_trasparenti_anno_2014[[#This Row],[totale_730_dichiarante]]&lt;&gt;0,LOG10(openpolis_patrimoni_trasparenti_anno_2014[[#This Row],[totale_730_dichiarante]]), 0)</f>
        <v>4.5289038511384092</v>
      </c>
    </row>
    <row r="108" spans="1:21" x14ac:dyDescent="0.3">
      <c r="A108">
        <v>275038</v>
      </c>
      <c r="B108" s="1" t="s">
        <v>56</v>
      </c>
      <c r="C108" s="1" t="s">
        <v>302</v>
      </c>
      <c r="D108" s="2">
        <v>20003</v>
      </c>
      <c r="E108" s="1" t="s">
        <v>49</v>
      </c>
      <c r="F108" s="1" t="s">
        <v>67</v>
      </c>
      <c r="G108" s="1" t="s">
        <v>126</v>
      </c>
      <c r="H108" s="1" t="s">
        <v>54</v>
      </c>
      <c r="I108" s="1" t="s">
        <v>89</v>
      </c>
      <c r="J108">
        <v>113102</v>
      </c>
      <c r="K108">
        <v>40792</v>
      </c>
      <c r="L108">
        <v>0</v>
      </c>
      <c r="M108">
        <v>0</v>
      </c>
      <c r="N108">
        <v>1</v>
      </c>
      <c r="O108" s="1" t="s">
        <v>303</v>
      </c>
      <c r="P108">
        <v>2</v>
      </c>
      <c r="Q108">
        <v>0</v>
      </c>
      <c r="R108">
        <v>2</v>
      </c>
      <c r="S108">
        <v>0</v>
      </c>
      <c r="T108">
        <v>0</v>
      </c>
      <c r="U108">
        <f>IF(openpolis_patrimoni_trasparenti_anno_2014[[#This Row],[totale_730_dichiarante]]&lt;&gt;0,LOG10(openpolis_patrimoni_trasparenti_anno_2014[[#This Row],[totale_730_dichiarante]]), 0)</f>
        <v>5.0534702846892401</v>
      </c>
    </row>
    <row r="109" spans="1:21" x14ac:dyDescent="0.3">
      <c r="A109">
        <v>687042</v>
      </c>
      <c r="B109" s="1" t="s">
        <v>84</v>
      </c>
      <c r="C109" s="1" t="s">
        <v>304</v>
      </c>
      <c r="D109" s="2">
        <v>26557</v>
      </c>
      <c r="E109" s="1" t="s">
        <v>49</v>
      </c>
      <c r="F109" s="1" t="s">
        <v>67</v>
      </c>
      <c r="G109" s="1" t="s">
        <v>102</v>
      </c>
      <c r="H109" s="1" t="s">
        <v>54</v>
      </c>
      <c r="I109" s="1" t="s">
        <v>291</v>
      </c>
      <c r="J109">
        <v>62260</v>
      </c>
      <c r="K109">
        <v>9272</v>
      </c>
      <c r="L109">
        <v>0</v>
      </c>
      <c r="M109">
        <v>0</v>
      </c>
      <c r="N109">
        <v>1</v>
      </c>
      <c r="O109" s="1" t="s">
        <v>303</v>
      </c>
      <c r="P109">
        <v>3</v>
      </c>
      <c r="Q109">
        <v>0</v>
      </c>
      <c r="R109">
        <v>2</v>
      </c>
      <c r="S109">
        <v>1</v>
      </c>
      <c r="T109">
        <v>0</v>
      </c>
      <c r="U109">
        <f>IF(openpolis_patrimoni_trasparenti_anno_2014[[#This Row],[totale_730_dichiarante]]&lt;&gt;0,LOG10(openpolis_patrimoni_trasparenti_anno_2014[[#This Row],[totale_730_dichiarante]]), 0)</f>
        <v>4.7942091163464964</v>
      </c>
    </row>
    <row r="110" spans="1:21" x14ac:dyDescent="0.3">
      <c r="A110">
        <v>7579</v>
      </c>
      <c r="B110" s="1" t="s">
        <v>305</v>
      </c>
      <c r="C110" s="1" t="s">
        <v>306</v>
      </c>
      <c r="D110" s="2">
        <v>24572</v>
      </c>
      <c r="E110" s="1" t="s">
        <v>307</v>
      </c>
      <c r="F110" s="1" t="s">
        <v>67</v>
      </c>
      <c r="G110" s="1" t="s">
        <v>24</v>
      </c>
      <c r="H110" s="1" t="s">
        <v>24</v>
      </c>
      <c r="I110" s="1" t="s">
        <v>111</v>
      </c>
      <c r="J110">
        <v>88686</v>
      </c>
      <c r="K110">
        <v>0</v>
      </c>
      <c r="L110">
        <v>0</v>
      </c>
      <c r="M110">
        <v>0</v>
      </c>
      <c r="N110">
        <v>3</v>
      </c>
      <c r="O110" s="1" t="s">
        <v>32</v>
      </c>
      <c r="P110">
        <v>4</v>
      </c>
      <c r="Q110">
        <v>0</v>
      </c>
      <c r="R110">
        <v>1</v>
      </c>
      <c r="S110">
        <v>0</v>
      </c>
      <c r="T110">
        <v>0</v>
      </c>
      <c r="U110">
        <f>IF(openpolis_patrimoni_trasparenti_anno_2014[[#This Row],[totale_730_dichiarante]]&lt;&gt;0,LOG10(openpolis_patrimoni_trasparenti_anno_2014[[#This Row],[totale_730_dichiarante]]), 0)</f>
        <v>4.9478550673782156</v>
      </c>
    </row>
    <row r="111" spans="1:21" x14ac:dyDescent="0.3">
      <c r="A111">
        <v>1748</v>
      </c>
      <c r="B111" s="1" t="s">
        <v>308</v>
      </c>
      <c r="C111" s="1" t="s">
        <v>309</v>
      </c>
      <c r="D111" s="2">
        <v>15616</v>
      </c>
      <c r="E111" s="1" t="s">
        <v>35</v>
      </c>
      <c r="F111" s="1" t="s">
        <v>67</v>
      </c>
      <c r="G111" s="1" t="s">
        <v>24</v>
      </c>
      <c r="H111" s="1" t="s">
        <v>24</v>
      </c>
      <c r="I111" s="1" t="s">
        <v>98</v>
      </c>
      <c r="J111">
        <v>82839</v>
      </c>
      <c r="K111">
        <v>0</v>
      </c>
      <c r="L111">
        <v>0</v>
      </c>
      <c r="M111">
        <v>0</v>
      </c>
      <c r="N111">
        <v>3</v>
      </c>
      <c r="O111" s="1" t="s">
        <v>32</v>
      </c>
      <c r="P111">
        <v>3</v>
      </c>
      <c r="Q111">
        <v>1</v>
      </c>
      <c r="R111">
        <v>1</v>
      </c>
      <c r="S111">
        <v>0</v>
      </c>
      <c r="T111">
        <v>1</v>
      </c>
      <c r="U111">
        <f>IF(openpolis_patrimoni_trasparenti_anno_2014[[#This Row],[totale_730_dichiarante]]&lt;&gt;0,LOG10(openpolis_patrimoni_trasparenti_anno_2014[[#This Row],[totale_730_dichiarante]]), 0)</f>
        <v>4.918234847619976</v>
      </c>
    </row>
    <row r="112" spans="1:21" x14ac:dyDescent="0.3">
      <c r="A112">
        <v>607001</v>
      </c>
      <c r="B112" s="1" t="s">
        <v>310</v>
      </c>
      <c r="C112" s="1" t="s">
        <v>311</v>
      </c>
      <c r="D112" s="2">
        <v>11528</v>
      </c>
      <c r="E112" s="1" t="s">
        <v>29</v>
      </c>
      <c r="F112" s="1" t="s">
        <v>67</v>
      </c>
      <c r="G112" s="1" t="s">
        <v>24</v>
      </c>
      <c r="H112" s="1" t="s">
        <v>24</v>
      </c>
      <c r="I112" s="1" t="s">
        <v>271</v>
      </c>
      <c r="J112">
        <v>139860</v>
      </c>
      <c r="K112">
        <v>0</v>
      </c>
      <c r="L112">
        <v>0</v>
      </c>
      <c r="M112">
        <v>0</v>
      </c>
      <c r="N112">
        <v>2</v>
      </c>
      <c r="O112" s="1" t="s">
        <v>43</v>
      </c>
      <c r="P112">
        <v>4</v>
      </c>
      <c r="Q112">
        <v>0</v>
      </c>
      <c r="R112">
        <v>1</v>
      </c>
      <c r="S112">
        <v>0</v>
      </c>
      <c r="T112">
        <v>0</v>
      </c>
      <c r="U112">
        <f>IF(openpolis_patrimoni_trasparenti_anno_2014[[#This Row],[totale_730_dichiarante]]&lt;&gt;0,LOG10(openpolis_patrimoni_trasparenti_anno_2014[[#This Row],[totale_730_dichiarante]]), 0)</f>
        <v>5.1456935239042201</v>
      </c>
    </row>
    <row r="113" spans="1:21" x14ac:dyDescent="0.3">
      <c r="A113">
        <v>755</v>
      </c>
      <c r="B113" s="1" t="s">
        <v>312</v>
      </c>
      <c r="C113" s="1" t="s">
        <v>313</v>
      </c>
      <c r="D113" s="2">
        <v>17397</v>
      </c>
      <c r="E113" s="1" t="s">
        <v>249</v>
      </c>
      <c r="F113" s="1" t="s">
        <v>67</v>
      </c>
      <c r="G113" s="1" t="s">
        <v>53</v>
      </c>
      <c r="H113" s="1" t="s">
        <v>314</v>
      </c>
      <c r="I113" s="1" t="s">
        <v>69</v>
      </c>
      <c r="J113">
        <v>3485458</v>
      </c>
      <c r="K113">
        <v>0</v>
      </c>
      <c r="L113">
        <v>0</v>
      </c>
      <c r="M113">
        <v>0</v>
      </c>
      <c r="N113">
        <v>3</v>
      </c>
      <c r="O113" s="1" t="s">
        <v>32</v>
      </c>
      <c r="P113">
        <v>12</v>
      </c>
      <c r="Q113">
        <v>4</v>
      </c>
      <c r="R113">
        <v>1</v>
      </c>
      <c r="S113">
        <v>2</v>
      </c>
      <c r="T113">
        <v>1</v>
      </c>
      <c r="U113">
        <f>IF(openpolis_patrimoni_trasparenti_anno_2014[[#This Row],[totale_730_dichiarante]]&lt;&gt;0,LOG10(openpolis_patrimoni_trasparenti_anno_2014[[#This Row],[totale_730_dichiarante]]), 0)</f>
        <v>6.5422598538267538</v>
      </c>
    </row>
    <row r="114" spans="1:21" x14ac:dyDescent="0.3">
      <c r="A114">
        <v>174447</v>
      </c>
      <c r="B114" s="1" t="s">
        <v>44</v>
      </c>
      <c r="C114" s="1" t="s">
        <v>315</v>
      </c>
      <c r="D114" s="2">
        <v>26550</v>
      </c>
      <c r="E114" s="1" t="s">
        <v>114</v>
      </c>
      <c r="F114" s="1" t="s">
        <v>67</v>
      </c>
      <c r="G114" s="1" t="s">
        <v>53</v>
      </c>
      <c r="H114" s="1" t="s">
        <v>53</v>
      </c>
      <c r="I114" s="1" t="s">
        <v>94</v>
      </c>
      <c r="J114">
        <v>104204</v>
      </c>
      <c r="K114">
        <v>0</v>
      </c>
      <c r="L114">
        <v>0</v>
      </c>
      <c r="M114">
        <v>0</v>
      </c>
      <c r="N114">
        <v>3</v>
      </c>
      <c r="O114" s="1" t="s">
        <v>32</v>
      </c>
      <c r="P114">
        <v>2</v>
      </c>
      <c r="Q114">
        <v>0</v>
      </c>
      <c r="R114">
        <v>1</v>
      </c>
      <c r="S114">
        <v>0</v>
      </c>
      <c r="T114">
        <v>0</v>
      </c>
      <c r="U114">
        <f>IF(openpolis_patrimoni_trasparenti_anno_2014[[#This Row],[totale_730_dichiarante]]&lt;&gt;0,LOG10(openpolis_patrimoni_trasparenti_anno_2014[[#This Row],[totale_730_dichiarante]]), 0)</f>
        <v>5.0178843902167234</v>
      </c>
    </row>
    <row r="115" spans="1:21" x14ac:dyDescent="0.3">
      <c r="A115">
        <v>1744</v>
      </c>
      <c r="B115" s="1" t="s">
        <v>203</v>
      </c>
      <c r="C115" s="1" t="s">
        <v>316</v>
      </c>
      <c r="D115" s="2">
        <v>21555</v>
      </c>
      <c r="E115" s="1" t="s">
        <v>156</v>
      </c>
      <c r="F115" s="1" t="s">
        <v>67</v>
      </c>
      <c r="G115" s="1" t="s">
        <v>283</v>
      </c>
      <c r="H115" s="1" t="s">
        <v>24</v>
      </c>
      <c r="I115" s="1" t="s">
        <v>284</v>
      </c>
      <c r="J115">
        <v>96009</v>
      </c>
      <c r="K115">
        <v>35981</v>
      </c>
      <c r="L115">
        <v>0</v>
      </c>
      <c r="M115">
        <v>0</v>
      </c>
      <c r="N115">
        <v>1</v>
      </c>
      <c r="O115" s="1" t="s">
        <v>303</v>
      </c>
      <c r="P115">
        <v>0</v>
      </c>
      <c r="Q115">
        <v>0</v>
      </c>
      <c r="R115">
        <v>2</v>
      </c>
      <c r="S115">
        <v>0</v>
      </c>
      <c r="T115">
        <v>0</v>
      </c>
      <c r="U115">
        <f>IF(openpolis_patrimoni_trasparenti_anno_2014[[#This Row],[totale_730_dichiarante]]&lt;&gt;0,LOG10(openpolis_patrimoni_trasparenti_anno_2014[[#This Row],[totale_730_dichiarante]]), 0)</f>
        <v>4.9823119462388457</v>
      </c>
    </row>
    <row r="116" spans="1:21" x14ac:dyDescent="0.3">
      <c r="A116">
        <v>750</v>
      </c>
      <c r="B116" s="1" t="s">
        <v>317</v>
      </c>
      <c r="C116" s="1" t="s">
        <v>318</v>
      </c>
      <c r="D116" s="2">
        <v>21886</v>
      </c>
      <c r="E116" s="1" t="s">
        <v>35</v>
      </c>
      <c r="F116" s="1" t="s">
        <v>67</v>
      </c>
      <c r="G116" s="1" t="s">
        <v>24</v>
      </c>
      <c r="H116" s="1" t="s">
        <v>24</v>
      </c>
      <c r="I116" s="1" t="s">
        <v>115</v>
      </c>
      <c r="J116">
        <v>95883</v>
      </c>
      <c r="K116">
        <v>0</v>
      </c>
      <c r="L116">
        <v>0</v>
      </c>
      <c r="M116">
        <v>0</v>
      </c>
      <c r="N116">
        <v>2</v>
      </c>
      <c r="O116" s="1" t="s">
        <v>43</v>
      </c>
      <c r="P116">
        <v>0</v>
      </c>
      <c r="Q116">
        <v>0</v>
      </c>
      <c r="R116">
        <v>1</v>
      </c>
      <c r="S116">
        <v>1</v>
      </c>
      <c r="T116">
        <v>1</v>
      </c>
      <c r="U116">
        <f>IF(openpolis_patrimoni_trasparenti_anno_2014[[#This Row],[totale_730_dichiarante]]&lt;&gt;0,LOG10(openpolis_patrimoni_trasparenti_anno_2014[[#This Row],[totale_730_dichiarante]]), 0)</f>
        <v>4.9817416138374515</v>
      </c>
    </row>
    <row r="117" spans="1:21" x14ac:dyDescent="0.3">
      <c r="A117">
        <v>748</v>
      </c>
      <c r="B117" s="1" t="s">
        <v>319</v>
      </c>
      <c r="C117" s="1" t="s">
        <v>320</v>
      </c>
      <c r="D117" s="2">
        <v>19263</v>
      </c>
      <c r="E117" s="1" t="s">
        <v>22</v>
      </c>
      <c r="F117" s="1" t="s">
        <v>67</v>
      </c>
      <c r="G117" s="1" t="s">
        <v>24</v>
      </c>
      <c r="H117" s="1" t="s">
        <v>24</v>
      </c>
      <c r="I117" s="1" t="s">
        <v>291</v>
      </c>
      <c r="J117">
        <v>97243</v>
      </c>
      <c r="K117">
        <v>28810</v>
      </c>
      <c r="L117">
        <v>0</v>
      </c>
      <c r="M117">
        <v>0</v>
      </c>
      <c r="N117">
        <v>1</v>
      </c>
      <c r="O117" s="1" t="s">
        <v>303</v>
      </c>
      <c r="P117">
        <v>6</v>
      </c>
      <c r="Q117">
        <v>8</v>
      </c>
      <c r="R117">
        <v>1</v>
      </c>
      <c r="S117">
        <v>3</v>
      </c>
      <c r="T117">
        <v>0</v>
      </c>
      <c r="U117">
        <f>IF(openpolis_patrimoni_trasparenti_anno_2014[[#This Row],[totale_730_dichiarante]]&lt;&gt;0,LOG10(openpolis_patrimoni_trasparenti_anno_2014[[#This Row],[totale_730_dichiarante]]), 0)</f>
        <v>4.9878583486014518</v>
      </c>
    </row>
    <row r="118" spans="1:21" x14ac:dyDescent="0.3">
      <c r="A118">
        <v>687039</v>
      </c>
      <c r="B118" s="1" t="s">
        <v>160</v>
      </c>
      <c r="C118" s="1" t="s">
        <v>321</v>
      </c>
      <c r="D118" s="2">
        <v>25264</v>
      </c>
      <c r="E118" s="1" t="s">
        <v>49</v>
      </c>
      <c r="F118" s="1" t="s">
        <v>67</v>
      </c>
      <c r="G118" s="1" t="s">
        <v>102</v>
      </c>
      <c r="H118" s="1" t="s">
        <v>102</v>
      </c>
      <c r="I118" s="1" t="s">
        <v>291</v>
      </c>
      <c r="J118">
        <v>88209</v>
      </c>
      <c r="K118">
        <v>0</v>
      </c>
      <c r="L118">
        <v>0</v>
      </c>
      <c r="M118">
        <v>0</v>
      </c>
      <c r="N118">
        <v>2</v>
      </c>
      <c r="O118" s="1" t="s">
        <v>43</v>
      </c>
      <c r="P118">
        <v>4</v>
      </c>
      <c r="Q118">
        <v>0</v>
      </c>
      <c r="R118">
        <v>1</v>
      </c>
      <c r="S118">
        <v>1</v>
      </c>
      <c r="T118">
        <v>0</v>
      </c>
      <c r="U118">
        <f>IF(openpolis_patrimoni_trasparenti_anno_2014[[#This Row],[totale_730_dichiarante]]&lt;&gt;0,LOG10(openpolis_patrimoni_trasparenti_anno_2014[[#This Row],[totale_730_dichiarante]]), 0)</f>
        <v>4.9455128986344246</v>
      </c>
    </row>
    <row r="119" spans="1:21" x14ac:dyDescent="0.3">
      <c r="A119">
        <v>5070</v>
      </c>
      <c r="B119" s="1" t="s">
        <v>322</v>
      </c>
      <c r="C119" s="1" t="s">
        <v>323</v>
      </c>
      <c r="D119" s="2">
        <v>18097</v>
      </c>
      <c r="E119" s="1" t="s">
        <v>49</v>
      </c>
      <c r="F119" s="1" t="s">
        <v>67</v>
      </c>
      <c r="G119" s="1" t="s">
        <v>36</v>
      </c>
      <c r="H119" s="1" t="s">
        <v>93</v>
      </c>
      <c r="I119" s="1" t="s">
        <v>115</v>
      </c>
      <c r="J119">
        <v>98323</v>
      </c>
      <c r="K119">
        <v>0</v>
      </c>
      <c r="L119">
        <v>0</v>
      </c>
      <c r="M119">
        <v>0</v>
      </c>
      <c r="N119">
        <v>3</v>
      </c>
      <c r="O119" s="1" t="s">
        <v>32</v>
      </c>
      <c r="P119">
        <v>7</v>
      </c>
      <c r="Q119">
        <v>0</v>
      </c>
      <c r="R119">
        <v>2</v>
      </c>
      <c r="S119">
        <v>0</v>
      </c>
      <c r="T119">
        <v>0</v>
      </c>
      <c r="U119">
        <f>IF(openpolis_patrimoni_trasparenti_anno_2014[[#This Row],[totale_730_dichiarante]]&lt;&gt;0,LOG10(openpolis_patrimoni_trasparenti_anno_2014[[#This Row],[totale_730_dichiarante]]), 0)</f>
        <v>4.9926551211352015</v>
      </c>
    </row>
    <row r="120" spans="1:21" x14ac:dyDescent="0.3">
      <c r="A120">
        <v>738</v>
      </c>
      <c r="B120" s="1" t="s">
        <v>324</v>
      </c>
      <c r="C120" s="1" t="s">
        <v>325</v>
      </c>
      <c r="D120" s="2">
        <v>25254</v>
      </c>
      <c r="E120" s="1" t="s">
        <v>63</v>
      </c>
      <c r="F120" s="1" t="s">
        <v>67</v>
      </c>
      <c r="G120" s="1" t="s">
        <v>53</v>
      </c>
      <c r="H120" s="1" t="s">
        <v>53</v>
      </c>
      <c r="I120" s="1" t="s">
        <v>271</v>
      </c>
      <c r="J120">
        <v>130985</v>
      </c>
      <c r="K120">
        <v>0</v>
      </c>
      <c r="L120">
        <v>0</v>
      </c>
      <c r="M120">
        <v>0</v>
      </c>
      <c r="N120">
        <v>3</v>
      </c>
      <c r="O120" s="1" t="s">
        <v>32</v>
      </c>
      <c r="P120">
        <v>1</v>
      </c>
      <c r="Q120">
        <v>0</v>
      </c>
      <c r="R120">
        <v>2</v>
      </c>
      <c r="S120">
        <v>1</v>
      </c>
      <c r="T120">
        <v>0</v>
      </c>
      <c r="U120">
        <f>IF(openpolis_patrimoni_trasparenti_anno_2014[[#This Row],[totale_730_dichiarante]]&lt;&gt;0,LOG10(openpolis_patrimoni_trasparenti_anno_2014[[#This Row],[totale_730_dichiarante]]), 0)</f>
        <v>5.1172215644327119</v>
      </c>
    </row>
    <row r="121" spans="1:21" x14ac:dyDescent="0.3">
      <c r="A121">
        <v>5069</v>
      </c>
      <c r="B121" s="1" t="s">
        <v>326</v>
      </c>
      <c r="C121" s="1" t="s">
        <v>305</v>
      </c>
      <c r="D121" s="2">
        <v>23225</v>
      </c>
      <c r="E121" s="1" t="s">
        <v>35</v>
      </c>
      <c r="F121" s="1" t="s">
        <v>67</v>
      </c>
      <c r="G121" s="1" t="s">
        <v>126</v>
      </c>
      <c r="H121" s="1" t="s">
        <v>54</v>
      </c>
      <c r="I121" s="1" t="s">
        <v>115</v>
      </c>
      <c r="J121">
        <v>130042</v>
      </c>
      <c r="K121">
        <v>0</v>
      </c>
      <c r="L121">
        <v>0</v>
      </c>
      <c r="M121">
        <v>0</v>
      </c>
      <c r="N121">
        <v>3</v>
      </c>
      <c r="O121" s="1" t="s">
        <v>32</v>
      </c>
      <c r="P121">
        <v>11</v>
      </c>
      <c r="Q121">
        <v>1</v>
      </c>
      <c r="R121">
        <v>1</v>
      </c>
      <c r="S121">
        <v>3</v>
      </c>
      <c r="T121">
        <v>2</v>
      </c>
      <c r="U121">
        <f>IF(openpolis_patrimoni_trasparenti_anno_2014[[#This Row],[totale_730_dichiarante]]&lt;&gt;0,LOG10(openpolis_patrimoni_trasparenti_anno_2014[[#This Row],[totale_730_dichiarante]]), 0)</f>
        <v>5.1140836401710938</v>
      </c>
    </row>
    <row r="122" spans="1:21" x14ac:dyDescent="0.3">
      <c r="A122">
        <v>732</v>
      </c>
      <c r="B122" s="1" t="s">
        <v>327</v>
      </c>
      <c r="C122" s="1" t="s">
        <v>328</v>
      </c>
      <c r="D122" s="2">
        <v>17188</v>
      </c>
      <c r="E122" s="1" t="s">
        <v>22</v>
      </c>
      <c r="F122" s="1" t="s">
        <v>67</v>
      </c>
      <c r="G122" s="1" t="s">
        <v>24</v>
      </c>
      <c r="H122" s="1" t="s">
        <v>24</v>
      </c>
      <c r="I122" s="1" t="s">
        <v>291</v>
      </c>
      <c r="J122">
        <v>119676</v>
      </c>
      <c r="K122">
        <v>78734</v>
      </c>
      <c r="L122">
        <v>0</v>
      </c>
      <c r="M122">
        <v>0</v>
      </c>
      <c r="N122">
        <v>3</v>
      </c>
      <c r="O122" s="1" t="s">
        <v>32</v>
      </c>
      <c r="P122">
        <v>6</v>
      </c>
      <c r="Q122">
        <v>0</v>
      </c>
      <c r="R122">
        <v>1</v>
      </c>
      <c r="S122">
        <v>0</v>
      </c>
      <c r="T122">
        <v>0</v>
      </c>
      <c r="U122">
        <f>IF(openpolis_patrimoni_trasparenti_anno_2014[[#This Row],[totale_730_dichiarante]]&lt;&gt;0,LOG10(openpolis_patrimoni_trasparenti_anno_2014[[#This Row],[totale_730_dichiarante]]), 0)</f>
        <v>5.0780070650879106</v>
      </c>
    </row>
    <row r="123" spans="1:21" x14ac:dyDescent="0.3">
      <c r="A123">
        <v>645984</v>
      </c>
      <c r="B123" s="1" t="s">
        <v>329</v>
      </c>
      <c r="C123" s="1" t="s">
        <v>330</v>
      </c>
      <c r="D123" s="2">
        <v>26617</v>
      </c>
      <c r="E123" s="1" t="s">
        <v>22</v>
      </c>
      <c r="F123" s="1" t="s">
        <v>67</v>
      </c>
      <c r="G123" s="1" t="s">
        <v>24</v>
      </c>
      <c r="H123" s="1" t="s">
        <v>24</v>
      </c>
      <c r="I123" s="1" t="s">
        <v>291</v>
      </c>
      <c r="J123">
        <v>87014</v>
      </c>
      <c r="K123">
        <v>0</v>
      </c>
      <c r="L123">
        <v>0</v>
      </c>
      <c r="M123">
        <v>0</v>
      </c>
      <c r="N123">
        <v>2</v>
      </c>
      <c r="O123" s="1" t="s">
        <v>43</v>
      </c>
      <c r="P123">
        <v>8</v>
      </c>
      <c r="Q123">
        <v>0</v>
      </c>
      <c r="R123">
        <v>2</v>
      </c>
      <c r="S123">
        <v>0</v>
      </c>
      <c r="T123">
        <v>0</v>
      </c>
      <c r="U123">
        <f>IF(openpolis_patrimoni_trasparenti_anno_2014[[#This Row],[totale_730_dichiarante]]&lt;&gt;0,LOG10(openpolis_patrimoni_trasparenti_anno_2014[[#This Row],[totale_730_dichiarante]]), 0)</f>
        <v>4.9395891334645246</v>
      </c>
    </row>
    <row r="124" spans="1:21" x14ac:dyDescent="0.3">
      <c r="A124">
        <v>274815</v>
      </c>
      <c r="B124" s="1" t="s">
        <v>331</v>
      </c>
      <c r="C124" s="1" t="s">
        <v>332</v>
      </c>
      <c r="D124" s="2">
        <v>20505</v>
      </c>
      <c r="E124" s="1" t="s">
        <v>63</v>
      </c>
      <c r="F124" s="1" t="s">
        <v>67</v>
      </c>
      <c r="G124" s="1" t="s">
        <v>24</v>
      </c>
      <c r="H124" s="1" t="s">
        <v>24</v>
      </c>
      <c r="I124" s="1" t="s">
        <v>191</v>
      </c>
      <c r="J124">
        <v>101075</v>
      </c>
      <c r="K124">
        <v>0</v>
      </c>
      <c r="L124">
        <v>0</v>
      </c>
      <c r="M124">
        <v>0</v>
      </c>
      <c r="N124">
        <v>3</v>
      </c>
      <c r="O124" s="1" t="s">
        <v>32</v>
      </c>
      <c r="P124">
        <v>1</v>
      </c>
      <c r="Q124">
        <v>8</v>
      </c>
      <c r="R124">
        <v>1</v>
      </c>
      <c r="S124">
        <v>1</v>
      </c>
      <c r="T124">
        <v>0</v>
      </c>
      <c r="U124">
        <f>IF(openpolis_patrimoni_trasparenti_anno_2014[[#This Row],[totale_730_dichiarante]]&lt;&gt;0,LOG10(openpolis_patrimoni_trasparenti_anno_2014[[#This Row],[totale_730_dichiarante]]), 0)</f>
        <v>5.0046437500057115</v>
      </c>
    </row>
    <row r="125" spans="1:21" x14ac:dyDescent="0.3">
      <c r="A125">
        <v>78290</v>
      </c>
      <c r="B125" s="1" t="s">
        <v>333</v>
      </c>
      <c r="C125" s="1" t="s">
        <v>334</v>
      </c>
      <c r="D125" s="2">
        <v>23528</v>
      </c>
      <c r="E125" s="1" t="s">
        <v>249</v>
      </c>
      <c r="F125" s="1" t="s">
        <v>67</v>
      </c>
      <c r="G125" s="1" t="s">
        <v>24</v>
      </c>
      <c r="H125" s="1" t="s">
        <v>24</v>
      </c>
      <c r="I125" s="1" t="s">
        <v>286</v>
      </c>
      <c r="J125">
        <v>82581</v>
      </c>
      <c r="K125">
        <v>0</v>
      </c>
      <c r="L125">
        <v>0</v>
      </c>
      <c r="M125">
        <v>0</v>
      </c>
      <c r="N125">
        <v>3</v>
      </c>
      <c r="O125" s="1" t="s">
        <v>32</v>
      </c>
      <c r="P125">
        <v>23</v>
      </c>
      <c r="Q125">
        <v>0</v>
      </c>
      <c r="R125">
        <v>1</v>
      </c>
      <c r="S125">
        <v>0</v>
      </c>
      <c r="T125">
        <v>0</v>
      </c>
      <c r="U125">
        <f>IF(openpolis_patrimoni_trasparenti_anno_2014[[#This Row],[totale_730_dichiarante]]&lt;&gt;0,LOG10(openpolis_patrimoni_trasparenti_anno_2014[[#This Row],[totale_730_dichiarante]]), 0)</f>
        <v>4.9168801375826696</v>
      </c>
    </row>
    <row r="126" spans="1:21" x14ac:dyDescent="0.3">
      <c r="A126">
        <v>687035</v>
      </c>
      <c r="B126" s="1" t="s">
        <v>335</v>
      </c>
      <c r="C126" s="1" t="s">
        <v>336</v>
      </c>
      <c r="D126" s="2">
        <v>18625</v>
      </c>
      <c r="E126" s="1" t="s">
        <v>49</v>
      </c>
      <c r="F126" s="1" t="s">
        <v>67</v>
      </c>
      <c r="G126" s="1" t="s">
        <v>102</v>
      </c>
      <c r="H126" s="1" t="s">
        <v>54</v>
      </c>
      <c r="I126" s="1" t="s">
        <v>291</v>
      </c>
      <c r="J126">
        <v>89900</v>
      </c>
      <c r="K126">
        <v>0</v>
      </c>
      <c r="L126">
        <v>0</v>
      </c>
      <c r="M126">
        <v>0</v>
      </c>
      <c r="N126">
        <v>3</v>
      </c>
      <c r="O126" s="1" t="s">
        <v>32</v>
      </c>
      <c r="P126">
        <v>2</v>
      </c>
      <c r="Q126">
        <v>0</v>
      </c>
      <c r="R126">
        <v>0</v>
      </c>
      <c r="S126">
        <v>0</v>
      </c>
      <c r="T126">
        <v>0</v>
      </c>
      <c r="U126">
        <f>IF(openpolis_patrimoni_trasparenti_anno_2014[[#This Row],[totale_730_dichiarante]]&lt;&gt;0,LOG10(openpolis_patrimoni_trasparenti_anno_2014[[#This Row],[totale_730_dichiarante]]), 0)</f>
        <v>4.9537596917332287</v>
      </c>
    </row>
    <row r="127" spans="1:21" x14ac:dyDescent="0.3">
      <c r="A127">
        <v>686888</v>
      </c>
      <c r="B127" s="1" t="s">
        <v>337</v>
      </c>
      <c r="C127" s="1" t="s">
        <v>338</v>
      </c>
      <c r="D127" s="2">
        <v>18941</v>
      </c>
      <c r="E127" s="1" t="s">
        <v>136</v>
      </c>
      <c r="F127" s="1" t="s">
        <v>67</v>
      </c>
      <c r="G127" s="1" t="s">
        <v>24</v>
      </c>
      <c r="H127" s="1" t="s">
        <v>24</v>
      </c>
      <c r="I127" s="1" t="s">
        <v>271</v>
      </c>
      <c r="J127">
        <v>214567</v>
      </c>
      <c r="K127">
        <v>0</v>
      </c>
      <c r="L127">
        <v>0</v>
      </c>
      <c r="M127">
        <v>0</v>
      </c>
      <c r="N127">
        <v>3</v>
      </c>
      <c r="O127" s="1" t="s">
        <v>32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f>IF(openpolis_patrimoni_trasparenti_anno_2014[[#This Row],[totale_730_dichiarante]]&lt;&gt;0,LOG10(openpolis_patrimoni_trasparenti_anno_2014[[#This Row],[totale_730_dichiarante]]), 0)</f>
        <v>5.3315629290933906</v>
      </c>
    </row>
    <row r="128" spans="1:21" x14ac:dyDescent="0.3">
      <c r="A128">
        <v>5012</v>
      </c>
      <c r="B128" s="1" t="s">
        <v>339</v>
      </c>
      <c r="C128" s="1" t="s">
        <v>340</v>
      </c>
      <c r="D128" s="2">
        <v>21582</v>
      </c>
      <c r="E128" s="1" t="s">
        <v>35</v>
      </c>
      <c r="F128" s="1" t="s">
        <v>67</v>
      </c>
      <c r="G128" s="1" t="s">
        <v>36</v>
      </c>
      <c r="H128" s="1" t="s">
        <v>37</v>
      </c>
      <c r="I128" s="1" t="s">
        <v>286</v>
      </c>
      <c r="J128">
        <v>150540</v>
      </c>
      <c r="K128">
        <v>0</v>
      </c>
      <c r="L128">
        <v>0</v>
      </c>
      <c r="M128">
        <v>0</v>
      </c>
      <c r="N128">
        <v>3</v>
      </c>
      <c r="O128" s="1" t="s">
        <v>32</v>
      </c>
      <c r="P128">
        <v>3</v>
      </c>
      <c r="Q128">
        <v>1</v>
      </c>
      <c r="R128">
        <v>0</v>
      </c>
      <c r="S128">
        <v>4</v>
      </c>
      <c r="T128">
        <v>0</v>
      </c>
      <c r="U128">
        <f>IF(openpolis_patrimoni_trasparenti_anno_2014[[#This Row],[totale_730_dichiarante]]&lt;&gt;0,LOG10(openpolis_patrimoni_trasparenti_anno_2014[[#This Row],[totale_730_dichiarante]]), 0)</f>
        <v>5.1776519116982538</v>
      </c>
    </row>
    <row r="129" spans="1:21" x14ac:dyDescent="0.3">
      <c r="A129">
        <v>4551</v>
      </c>
      <c r="B129" s="1" t="s">
        <v>341</v>
      </c>
      <c r="C129" s="1" t="s">
        <v>342</v>
      </c>
      <c r="D129" s="2">
        <v>15037</v>
      </c>
      <c r="E129" s="1" t="s">
        <v>343</v>
      </c>
      <c r="F129" s="1" t="s">
        <v>67</v>
      </c>
      <c r="G129" s="1" t="s">
        <v>36</v>
      </c>
      <c r="H129" s="1" t="s">
        <v>37</v>
      </c>
      <c r="I129" s="1" t="s">
        <v>271</v>
      </c>
      <c r="J129">
        <v>136274</v>
      </c>
      <c r="K129">
        <v>0</v>
      </c>
      <c r="L129">
        <v>0</v>
      </c>
      <c r="M129">
        <v>0</v>
      </c>
      <c r="N129">
        <v>3</v>
      </c>
      <c r="O129" s="1" t="s">
        <v>32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f>IF(openpolis_patrimoni_trasparenti_anno_2014[[#This Row],[totale_730_dichiarante]]&lt;&gt;0,LOG10(openpolis_patrimoni_trasparenti_anno_2014[[#This Row],[totale_730_dichiarante]]), 0)</f>
        <v>5.1344130037903577</v>
      </c>
    </row>
    <row r="130" spans="1:21" x14ac:dyDescent="0.3">
      <c r="A130">
        <v>276853</v>
      </c>
      <c r="B130" s="1" t="s">
        <v>242</v>
      </c>
      <c r="C130" s="1" t="s">
        <v>344</v>
      </c>
      <c r="D130" s="2">
        <v>22518</v>
      </c>
      <c r="E130" s="1" t="s">
        <v>49</v>
      </c>
      <c r="F130" s="1" t="s">
        <v>67</v>
      </c>
      <c r="G130" s="1" t="s">
        <v>36</v>
      </c>
      <c r="H130" s="1" t="s">
        <v>37</v>
      </c>
      <c r="I130" s="1" t="s">
        <v>345</v>
      </c>
      <c r="J130">
        <v>109328</v>
      </c>
      <c r="K130">
        <v>0</v>
      </c>
      <c r="L130">
        <v>0</v>
      </c>
      <c r="M130">
        <v>0</v>
      </c>
      <c r="N130">
        <v>3</v>
      </c>
      <c r="O130" s="1" t="s">
        <v>32</v>
      </c>
      <c r="P130">
        <v>2</v>
      </c>
      <c r="Q130">
        <v>0</v>
      </c>
      <c r="R130">
        <v>0</v>
      </c>
      <c r="S130">
        <v>0</v>
      </c>
      <c r="T130">
        <v>0</v>
      </c>
      <c r="U130">
        <f>IF(openpolis_patrimoni_trasparenti_anno_2014[[#This Row],[totale_730_dichiarante]]&lt;&gt;0,LOG10(openpolis_patrimoni_trasparenti_anno_2014[[#This Row],[totale_730_dichiarante]]), 0)</f>
        <v>5.0387314033786117</v>
      </c>
    </row>
    <row r="131" spans="1:21" x14ac:dyDescent="0.3">
      <c r="A131">
        <v>685867</v>
      </c>
      <c r="B131" s="1" t="s">
        <v>346</v>
      </c>
      <c r="C131" s="1" t="s">
        <v>347</v>
      </c>
      <c r="D131" s="2">
        <v>24631</v>
      </c>
      <c r="E131" s="1" t="s">
        <v>49</v>
      </c>
      <c r="F131" s="1" t="s">
        <v>67</v>
      </c>
      <c r="G131" s="1" t="s">
        <v>102</v>
      </c>
      <c r="H131" s="1" t="s">
        <v>102</v>
      </c>
      <c r="I131" s="1" t="s">
        <v>69</v>
      </c>
      <c r="J131">
        <v>81334</v>
      </c>
      <c r="K131">
        <v>0</v>
      </c>
      <c r="L131">
        <v>0</v>
      </c>
      <c r="M131">
        <v>0</v>
      </c>
      <c r="N131">
        <v>2</v>
      </c>
      <c r="O131" s="1" t="s">
        <v>43</v>
      </c>
      <c r="P131">
        <v>1</v>
      </c>
      <c r="Q131">
        <v>0</v>
      </c>
      <c r="R131">
        <v>1</v>
      </c>
      <c r="S131">
        <v>0</v>
      </c>
      <c r="T131">
        <v>0</v>
      </c>
      <c r="U131">
        <f>IF(openpolis_patrimoni_trasparenti_anno_2014[[#This Row],[totale_730_dichiarante]]&lt;&gt;0,LOG10(openpolis_patrimoni_trasparenti_anno_2014[[#This Row],[totale_730_dichiarante]]), 0)</f>
        <v>4.9102721313953133</v>
      </c>
    </row>
    <row r="132" spans="1:21" x14ac:dyDescent="0.3">
      <c r="A132">
        <v>333282</v>
      </c>
      <c r="B132" s="1" t="s">
        <v>317</v>
      </c>
      <c r="C132" s="1" t="s">
        <v>348</v>
      </c>
      <c r="D132" s="2">
        <v>15786</v>
      </c>
      <c r="E132" s="1" t="s">
        <v>63</v>
      </c>
      <c r="F132" s="1" t="s">
        <v>67</v>
      </c>
      <c r="G132" s="1" t="s">
        <v>36</v>
      </c>
      <c r="H132" s="1" t="s">
        <v>37</v>
      </c>
      <c r="I132" s="1" t="s">
        <v>271</v>
      </c>
      <c r="J132">
        <v>1039255</v>
      </c>
      <c r="K132">
        <v>0</v>
      </c>
      <c r="L132">
        <v>0</v>
      </c>
      <c r="M132">
        <v>0</v>
      </c>
      <c r="N132">
        <v>3</v>
      </c>
      <c r="O132" s="1" t="s">
        <v>32</v>
      </c>
      <c r="P132">
        <v>11</v>
      </c>
      <c r="Q132">
        <v>1</v>
      </c>
      <c r="R132">
        <v>3</v>
      </c>
      <c r="S132">
        <v>5</v>
      </c>
      <c r="T132">
        <v>8</v>
      </c>
      <c r="U132">
        <f>IF(openpolis_patrimoni_trasparenti_anno_2014[[#This Row],[totale_730_dichiarante]]&lt;&gt;0,LOG10(openpolis_patrimoni_trasparenti_anno_2014[[#This Row],[totale_730_dichiarante]]), 0)</f>
        <v>6.0167221226342891</v>
      </c>
    </row>
    <row r="133" spans="1:21" x14ac:dyDescent="0.3">
      <c r="A133">
        <v>1723</v>
      </c>
      <c r="B133" s="1" t="s">
        <v>349</v>
      </c>
      <c r="C133" s="1" t="s">
        <v>350</v>
      </c>
      <c r="D133" s="2">
        <v>18394</v>
      </c>
      <c r="E133" s="1" t="s">
        <v>41</v>
      </c>
      <c r="F133" s="1" t="s">
        <v>67</v>
      </c>
      <c r="G133" s="1" t="s">
        <v>36</v>
      </c>
      <c r="H133" s="1" t="s">
        <v>168</v>
      </c>
      <c r="I133" s="1" t="s">
        <v>345</v>
      </c>
      <c r="J133">
        <v>117364</v>
      </c>
      <c r="K133">
        <v>0</v>
      </c>
      <c r="L133">
        <v>0</v>
      </c>
      <c r="M133">
        <v>0</v>
      </c>
      <c r="N133">
        <v>3</v>
      </c>
      <c r="O133" s="1" t="s">
        <v>32</v>
      </c>
      <c r="P133">
        <v>0</v>
      </c>
      <c r="Q133">
        <v>0</v>
      </c>
      <c r="R133">
        <v>1</v>
      </c>
      <c r="S133">
        <v>0</v>
      </c>
      <c r="T133">
        <v>0</v>
      </c>
      <c r="U133">
        <f>IF(openpolis_patrimoni_trasparenti_anno_2014[[#This Row],[totale_730_dichiarante]]&lt;&gt;0,LOG10(openpolis_patrimoni_trasparenti_anno_2014[[#This Row],[totale_730_dichiarante]]), 0)</f>
        <v>5.0695349027125616</v>
      </c>
    </row>
    <row r="134" spans="1:21" x14ac:dyDescent="0.3">
      <c r="A134">
        <v>601464</v>
      </c>
      <c r="B134" s="1" t="s">
        <v>351</v>
      </c>
      <c r="C134" s="1" t="s">
        <v>352</v>
      </c>
      <c r="D134" s="2">
        <v>20775</v>
      </c>
      <c r="E134" s="1" t="s">
        <v>75</v>
      </c>
      <c r="F134" s="1" t="s">
        <v>67</v>
      </c>
      <c r="G134" s="1" t="s">
        <v>36</v>
      </c>
      <c r="H134" s="1" t="s">
        <v>298</v>
      </c>
      <c r="I134" s="1" t="s">
        <v>345</v>
      </c>
      <c r="J134">
        <v>145854</v>
      </c>
      <c r="K134">
        <v>0</v>
      </c>
      <c r="L134">
        <v>0</v>
      </c>
      <c r="M134">
        <v>0</v>
      </c>
      <c r="N134">
        <v>3</v>
      </c>
      <c r="O134" s="1" t="s">
        <v>32</v>
      </c>
      <c r="P134">
        <v>1</v>
      </c>
      <c r="Q134">
        <v>0</v>
      </c>
      <c r="R134">
        <v>1</v>
      </c>
      <c r="S134">
        <v>0</v>
      </c>
      <c r="T134">
        <v>0</v>
      </c>
      <c r="U134">
        <f>IF(openpolis_patrimoni_trasparenti_anno_2014[[#This Row],[totale_730_dichiarante]]&lt;&gt;0,LOG10(openpolis_patrimoni_trasparenti_anno_2014[[#This Row],[totale_730_dichiarante]]), 0)</f>
        <v>5.163918344010419</v>
      </c>
    </row>
    <row r="135" spans="1:21" x14ac:dyDescent="0.3">
      <c r="A135">
        <v>7002</v>
      </c>
      <c r="B135" s="1" t="s">
        <v>242</v>
      </c>
      <c r="C135" s="1" t="s">
        <v>353</v>
      </c>
      <c r="D135" s="2">
        <v>22986</v>
      </c>
      <c r="E135" s="1" t="s">
        <v>41</v>
      </c>
      <c r="F135" s="1" t="s">
        <v>67</v>
      </c>
      <c r="G135" s="1" t="s">
        <v>24</v>
      </c>
      <c r="H135" s="1" t="s">
        <v>24</v>
      </c>
      <c r="I135" s="1" t="s">
        <v>291</v>
      </c>
      <c r="J135">
        <v>143067</v>
      </c>
      <c r="K135">
        <v>0</v>
      </c>
      <c r="L135">
        <v>0</v>
      </c>
      <c r="M135">
        <v>0</v>
      </c>
      <c r="N135">
        <v>3</v>
      </c>
      <c r="O135" s="1" t="s">
        <v>32</v>
      </c>
      <c r="P135">
        <v>5</v>
      </c>
      <c r="Q135">
        <v>1</v>
      </c>
      <c r="R135">
        <v>1</v>
      </c>
      <c r="S135">
        <v>1</v>
      </c>
      <c r="T135">
        <v>0</v>
      </c>
      <c r="U135">
        <f>IF(openpolis_patrimoni_trasparenti_anno_2014[[#This Row],[totale_730_dichiarante]]&lt;&gt;0,LOG10(openpolis_patrimoni_trasparenti_anno_2014[[#This Row],[totale_730_dichiarante]]), 0)</f>
        <v>5.1555394704427879</v>
      </c>
    </row>
    <row r="136" spans="1:21" x14ac:dyDescent="0.3">
      <c r="A136">
        <v>685762</v>
      </c>
      <c r="B136" s="1" t="s">
        <v>203</v>
      </c>
      <c r="C136" s="1" t="s">
        <v>354</v>
      </c>
      <c r="D136" s="2">
        <v>19912</v>
      </c>
      <c r="E136" s="1" t="s">
        <v>86</v>
      </c>
      <c r="F136" s="1" t="s">
        <v>67</v>
      </c>
      <c r="G136" s="1" t="s">
        <v>24</v>
      </c>
      <c r="H136" s="1" t="s">
        <v>24</v>
      </c>
      <c r="I136" s="1" t="s">
        <v>94</v>
      </c>
      <c r="J136">
        <v>91706</v>
      </c>
      <c r="K136">
        <v>15686</v>
      </c>
      <c r="L136">
        <v>0</v>
      </c>
      <c r="M136">
        <v>0</v>
      </c>
      <c r="N136">
        <v>3</v>
      </c>
      <c r="O136" s="1" t="s">
        <v>32</v>
      </c>
      <c r="P136">
        <v>2</v>
      </c>
      <c r="Q136">
        <v>2</v>
      </c>
      <c r="R136">
        <v>2</v>
      </c>
      <c r="S136">
        <v>0</v>
      </c>
      <c r="T136">
        <v>0</v>
      </c>
      <c r="U136">
        <f>IF(openpolis_patrimoni_trasparenti_anno_2014[[#This Row],[totale_730_dichiarante]]&lt;&gt;0,LOG10(openpolis_patrimoni_trasparenti_anno_2014[[#This Row],[totale_730_dichiarante]]), 0)</f>
        <v>4.9623977509551516</v>
      </c>
    </row>
    <row r="137" spans="1:21" x14ac:dyDescent="0.3">
      <c r="A137">
        <v>687147</v>
      </c>
      <c r="B137" s="1" t="s">
        <v>355</v>
      </c>
      <c r="C137" s="1" t="s">
        <v>356</v>
      </c>
      <c r="D137" s="2">
        <v>26363</v>
      </c>
      <c r="E137" s="1" t="s">
        <v>140</v>
      </c>
      <c r="F137" s="1" t="s">
        <v>67</v>
      </c>
      <c r="G137" s="1" t="s">
        <v>102</v>
      </c>
      <c r="H137" s="1" t="s">
        <v>102</v>
      </c>
      <c r="I137" s="1" t="s">
        <v>345</v>
      </c>
      <c r="J137">
        <v>83942</v>
      </c>
      <c r="K137">
        <v>0</v>
      </c>
      <c r="L137">
        <v>0</v>
      </c>
      <c r="M137">
        <v>0</v>
      </c>
      <c r="N137">
        <v>3</v>
      </c>
      <c r="O137" s="1" t="s">
        <v>32</v>
      </c>
      <c r="P137">
        <v>14</v>
      </c>
      <c r="Q137">
        <v>0</v>
      </c>
      <c r="R137">
        <v>1</v>
      </c>
      <c r="S137">
        <v>0</v>
      </c>
      <c r="T137">
        <v>0</v>
      </c>
      <c r="U137">
        <f>IF(openpolis_patrimoni_trasparenti_anno_2014[[#This Row],[totale_730_dichiarante]]&lt;&gt;0,LOG10(openpolis_patrimoni_trasparenti_anno_2014[[#This Row],[totale_730_dichiarante]]), 0)</f>
        <v>4.9239793124882452</v>
      </c>
    </row>
    <row r="138" spans="1:21" x14ac:dyDescent="0.3">
      <c r="A138">
        <v>1712</v>
      </c>
      <c r="B138" s="1" t="s">
        <v>357</v>
      </c>
      <c r="C138" s="1" t="s">
        <v>358</v>
      </c>
      <c r="D138" s="2">
        <v>18457</v>
      </c>
      <c r="E138" s="1" t="s">
        <v>136</v>
      </c>
      <c r="F138" s="1" t="s">
        <v>67</v>
      </c>
      <c r="G138" s="1" t="s">
        <v>36</v>
      </c>
      <c r="H138" s="1" t="s">
        <v>168</v>
      </c>
      <c r="I138" s="1" t="s">
        <v>94</v>
      </c>
      <c r="J138">
        <v>124117</v>
      </c>
      <c r="K138">
        <v>0</v>
      </c>
      <c r="L138">
        <v>0</v>
      </c>
      <c r="M138">
        <v>0</v>
      </c>
      <c r="N138">
        <v>3</v>
      </c>
      <c r="O138" s="1" t="s">
        <v>32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f>IF(openpolis_patrimoni_trasparenti_anno_2014[[#This Row],[totale_730_dichiarante]]&lt;&gt;0,LOG10(openpolis_patrimoni_trasparenti_anno_2014[[#This Row],[totale_730_dichiarante]]), 0)</f>
        <v>5.093831269819062</v>
      </c>
    </row>
    <row r="139" spans="1:21" x14ac:dyDescent="0.3">
      <c r="A139">
        <v>701</v>
      </c>
      <c r="B139" s="1" t="s">
        <v>51</v>
      </c>
      <c r="C139" s="1" t="s">
        <v>359</v>
      </c>
      <c r="D139" s="2">
        <v>24380</v>
      </c>
      <c r="E139" s="1" t="s">
        <v>41</v>
      </c>
      <c r="F139" s="1" t="s">
        <v>67</v>
      </c>
      <c r="G139" s="1" t="s">
        <v>24</v>
      </c>
      <c r="H139" s="1" t="s">
        <v>24</v>
      </c>
      <c r="I139" s="1" t="s">
        <v>360</v>
      </c>
      <c r="J139">
        <v>76659</v>
      </c>
      <c r="K139">
        <v>0</v>
      </c>
      <c r="L139">
        <v>0</v>
      </c>
      <c r="M139">
        <v>0</v>
      </c>
      <c r="N139">
        <v>3</v>
      </c>
      <c r="O139" s="1" t="s">
        <v>32</v>
      </c>
      <c r="P139">
        <v>0</v>
      </c>
      <c r="Q139">
        <v>1</v>
      </c>
      <c r="R139">
        <v>1</v>
      </c>
      <c r="S139">
        <v>0</v>
      </c>
      <c r="T139">
        <v>0</v>
      </c>
      <c r="U139">
        <f>IF(openpolis_patrimoni_trasparenti_anno_2014[[#This Row],[totale_730_dichiarante]]&lt;&gt;0,LOG10(openpolis_patrimoni_trasparenti_anno_2014[[#This Row],[totale_730_dichiarante]]), 0)</f>
        <v>4.8845631496781232</v>
      </c>
    </row>
    <row r="140" spans="1:21" x14ac:dyDescent="0.3">
      <c r="A140">
        <v>686932</v>
      </c>
      <c r="B140" s="1" t="s">
        <v>242</v>
      </c>
      <c r="C140" s="1" t="s">
        <v>361</v>
      </c>
      <c r="D140" s="2">
        <v>25376</v>
      </c>
      <c r="E140" s="1" t="s">
        <v>29</v>
      </c>
      <c r="F140" s="1" t="s">
        <v>67</v>
      </c>
      <c r="G140" s="1" t="s">
        <v>24</v>
      </c>
      <c r="H140" s="1" t="s">
        <v>24</v>
      </c>
      <c r="I140" s="1" t="s">
        <v>191</v>
      </c>
      <c r="J140">
        <v>89168</v>
      </c>
      <c r="K140">
        <v>0</v>
      </c>
      <c r="L140">
        <v>0</v>
      </c>
      <c r="M140">
        <v>0</v>
      </c>
      <c r="N140">
        <v>3</v>
      </c>
      <c r="O140" s="1" t="s">
        <v>32</v>
      </c>
      <c r="P140">
        <v>3</v>
      </c>
      <c r="Q140">
        <v>0</v>
      </c>
      <c r="R140">
        <v>2</v>
      </c>
      <c r="S140">
        <v>0</v>
      </c>
      <c r="T140">
        <v>0</v>
      </c>
      <c r="U140">
        <f>IF(openpolis_patrimoni_trasparenti_anno_2014[[#This Row],[totale_730_dichiarante]]&lt;&gt;0,LOG10(openpolis_patrimoni_trasparenti_anno_2014[[#This Row],[totale_730_dichiarante]]), 0)</f>
        <v>4.950209025712125</v>
      </c>
    </row>
    <row r="141" spans="1:21" x14ac:dyDescent="0.3">
      <c r="A141">
        <v>4868</v>
      </c>
      <c r="B141" s="1" t="s">
        <v>65</v>
      </c>
      <c r="C141" s="1" t="s">
        <v>82</v>
      </c>
      <c r="D141" s="2">
        <v>23904</v>
      </c>
      <c r="E141" s="1" t="s">
        <v>75</v>
      </c>
      <c r="F141" s="1" t="s">
        <v>67</v>
      </c>
      <c r="G141" s="1" t="s">
        <v>24</v>
      </c>
      <c r="H141" s="1" t="s">
        <v>24</v>
      </c>
      <c r="I141" s="1" t="s">
        <v>173</v>
      </c>
      <c r="J141">
        <v>103146</v>
      </c>
      <c r="K141">
        <v>2855</v>
      </c>
      <c r="L141">
        <v>0</v>
      </c>
      <c r="M141">
        <v>0</v>
      </c>
      <c r="N141">
        <v>3</v>
      </c>
      <c r="O141" s="1" t="s">
        <v>32</v>
      </c>
      <c r="P141">
        <v>2</v>
      </c>
      <c r="Q141">
        <v>0</v>
      </c>
      <c r="R141">
        <v>2</v>
      </c>
      <c r="S141">
        <v>1</v>
      </c>
      <c r="T141">
        <v>0</v>
      </c>
      <c r="U141">
        <f>IF(openpolis_patrimoni_trasparenti_anno_2014[[#This Row],[totale_730_dichiarante]]&lt;&gt;0,LOG10(openpolis_patrimoni_trasparenti_anno_2014[[#This Row],[totale_730_dichiarante]]), 0)</f>
        <v>5.0134523907036339</v>
      </c>
    </row>
    <row r="142" spans="1:21" x14ac:dyDescent="0.3">
      <c r="A142">
        <v>332896</v>
      </c>
      <c r="B142" s="1" t="s">
        <v>362</v>
      </c>
      <c r="C142" s="1" t="s">
        <v>82</v>
      </c>
      <c r="D142" s="2">
        <v>26366</v>
      </c>
      <c r="E142" s="1" t="s">
        <v>35</v>
      </c>
      <c r="F142" s="1" t="s">
        <v>67</v>
      </c>
      <c r="G142" s="1" t="s">
        <v>36</v>
      </c>
      <c r="H142" s="1" t="s">
        <v>37</v>
      </c>
      <c r="I142" s="1" t="s">
        <v>291</v>
      </c>
      <c r="J142">
        <v>101297</v>
      </c>
      <c r="K142">
        <v>0</v>
      </c>
      <c r="L142">
        <v>0</v>
      </c>
      <c r="M142">
        <v>0</v>
      </c>
      <c r="N142">
        <v>3</v>
      </c>
      <c r="O142" s="1" t="s">
        <v>32</v>
      </c>
      <c r="P142">
        <v>3</v>
      </c>
      <c r="Q142">
        <v>0</v>
      </c>
      <c r="R142">
        <v>1</v>
      </c>
      <c r="S142">
        <v>2</v>
      </c>
      <c r="T142">
        <v>1</v>
      </c>
      <c r="U142">
        <f>IF(openpolis_patrimoni_trasparenti_anno_2014[[#This Row],[totale_730_dichiarante]]&lt;&gt;0,LOG10(openpolis_patrimoni_trasparenti_anno_2014[[#This Row],[totale_730_dichiarante]]), 0)</f>
        <v>5.0055965835366028</v>
      </c>
    </row>
    <row r="143" spans="1:21" x14ac:dyDescent="0.3">
      <c r="A143">
        <v>691</v>
      </c>
      <c r="B143" s="1" t="s">
        <v>56</v>
      </c>
      <c r="C143" s="1" t="s">
        <v>82</v>
      </c>
      <c r="D143" s="2">
        <v>19535</v>
      </c>
      <c r="E143" s="1" t="s">
        <v>35</v>
      </c>
      <c r="F143" s="1" t="s">
        <v>67</v>
      </c>
      <c r="G143" s="1" t="s">
        <v>36</v>
      </c>
      <c r="H143" s="1" t="s">
        <v>168</v>
      </c>
      <c r="I143" s="1" t="s">
        <v>173</v>
      </c>
      <c r="J143">
        <v>120212</v>
      </c>
      <c r="K143">
        <v>0</v>
      </c>
      <c r="L143">
        <v>0</v>
      </c>
      <c r="M143">
        <v>0</v>
      </c>
      <c r="N143">
        <v>3</v>
      </c>
      <c r="O143" s="1" t="s">
        <v>32</v>
      </c>
      <c r="P143">
        <v>23</v>
      </c>
      <c r="Q143">
        <v>85</v>
      </c>
      <c r="R143">
        <v>3</v>
      </c>
      <c r="S143">
        <v>2</v>
      </c>
      <c r="T143">
        <v>3</v>
      </c>
      <c r="U143">
        <f>IF(openpolis_patrimoni_trasparenti_anno_2014[[#This Row],[totale_730_dichiarante]]&lt;&gt;0,LOG10(openpolis_patrimoni_trasparenti_anno_2014[[#This Row],[totale_730_dichiarante]]), 0)</f>
        <v>5.0799478226888262</v>
      </c>
    </row>
    <row r="144" spans="1:21" x14ac:dyDescent="0.3">
      <c r="A144">
        <v>685915</v>
      </c>
      <c r="B144" s="1" t="s">
        <v>363</v>
      </c>
      <c r="C144" s="1" t="s">
        <v>364</v>
      </c>
      <c r="D144" s="2">
        <v>20098</v>
      </c>
      <c r="E144" s="1" t="s">
        <v>75</v>
      </c>
      <c r="F144" s="1" t="s">
        <v>67</v>
      </c>
      <c r="G144" s="1" t="s">
        <v>25</v>
      </c>
      <c r="H144" s="1" t="s">
        <v>279</v>
      </c>
      <c r="I144" s="1" t="s">
        <v>286</v>
      </c>
      <c r="J144">
        <v>101594</v>
      </c>
      <c r="K144">
        <v>0</v>
      </c>
      <c r="L144">
        <v>0</v>
      </c>
      <c r="M144">
        <v>0</v>
      </c>
      <c r="N144">
        <v>3</v>
      </c>
      <c r="O144" s="1" t="s">
        <v>32</v>
      </c>
      <c r="P144">
        <v>4</v>
      </c>
      <c r="Q144">
        <v>2</v>
      </c>
      <c r="R144">
        <v>2</v>
      </c>
      <c r="S144">
        <v>0</v>
      </c>
      <c r="T144">
        <v>0</v>
      </c>
      <c r="U144">
        <f>IF(openpolis_patrimoni_trasparenti_anno_2014[[#This Row],[totale_730_dichiarante]]&lt;&gt;0,LOG10(openpolis_patrimoni_trasparenti_anno_2014[[#This Row],[totale_730_dichiarante]]), 0)</f>
        <v>5.006868059878645</v>
      </c>
    </row>
    <row r="145" spans="1:21" x14ac:dyDescent="0.3">
      <c r="A145">
        <v>686992</v>
      </c>
      <c r="B145" s="1" t="s">
        <v>357</v>
      </c>
      <c r="C145" s="1" t="s">
        <v>365</v>
      </c>
      <c r="D145" s="2">
        <v>19773</v>
      </c>
      <c r="E145" s="1" t="s">
        <v>75</v>
      </c>
      <c r="F145" s="1" t="s">
        <v>67</v>
      </c>
      <c r="G145" s="1" t="s">
        <v>102</v>
      </c>
      <c r="H145" s="1" t="s">
        <v>54</v>
      </c>
      <c r="I145" s="1" t="s">
        <v>46</v>
      </c>
      <c r="J145">
        <v>110079</v>
      </c>
      <c r="K145">
        <v>0</v>
      </c>
      <c r="L145">
        <v>0</v>
      </c>
      <c r="M145">
        <v>0</v>
      </c>
      <c r="N145">
        <v>3</v>
      </c>
      <c r="O145" s="1" t="s">
        <v>32</v>
      </c>
      <c r="P145">
        <v>4</v>
      </c>
      <c r="Q145">
        <v>1</v>
      </c>
      <c r="R145">
        <v>0</v>
      </c>
      <c r="S145">
        <v>4</v>
      </c>
      <c r="T145">
        <v>0</v>
      </c>
      <c r="U145">
        <f>IF(openpolis_patrimoni_trasparenti_anno_2014[[#This Row],[totale_730_dichiarante]]&lt;&gt;0,LOG10(openpolis_patrimoni_trasparenti_anno_2014[[#This Row],[totale_730_dichiarante]]), 0)</f>
        <v>5.0417044756111444</v>
      </c>
    </row>
    <row r="146" spans="1:21" x14ac:dyDescent="0.3">
      <c r="A146">
        <v>685</v>
      </c>
      <c r="B146" s="1" t="s">
        <v>44</v>
      </c>
      <c r="C146" s="1" t="s">
        <v>365</v>
      </c>
      <c r="D146" s="2">
        <v>17428</v>
      </c>
      <c r="E146" s="1" t="s">
        <v>156</v>
      </c>
      <c r="F146" s="1" t="s">
        <v>67</v>
      </c>
      <c r="G146" s="1" t="s">
        <v>36</v>
      </c>
      <c r="H146" s="1" t="s">
        <v>37</v>
      </c>
      <c r="I146" s="1" t="s">
        <v>271</v>
      </c>
      <c r="J146">
        <v>129167</v>
      </c>
      <c r="K146">
        <v>0</v>
      </c>
      <c r="L146">
        <v>0</v>
      </c>
      <c r="M146">
        <v>0</v>
      </c>
      <c r="N146">
        <v>3</v>
      </c>
      <c r="O146" s="1" t="s">
        <v>32</v>
      </c>
      <c r="P146">
        <v>3</v>
      </c>
      <c r="Q146">
        <v>2</v>
      </c>
      <c r="R146">
        <v>0</v>
      </c>
      <c r="S146">
        <v>1</v>
      </c>
      <c r="T146">
        <v>0</v>
      </c>
      <c r="U146">
        <f>IF(openpolis_patrimoni_trasparenti_anno_2014[[#This Row],[totale_730_dichiarante]]&lt;&gt;0,LOG10(openpolis_patrimoni_trasparenti_anno_2014[[#This Row],[totale_730_dichiarante]]), 0)</f>
        <v>5.1111515728811741</v>
      </c>
    </row>
    <row r="147" spans="1:21" x14ac:dyDescent="0.3">
      <c r="A147">
        <v>333257</v>
      </c>
      <c r="B147" s="1" t="s">
        <v>329</v>
      </c>
      <c r="C147" s="1" t="s">
        <v>366</v>
      </c>
      <c r="D147" s="2">
        <v>19671</v>
      </c>
      <c r="E147" s="1" t="s">
        <v>75</v>
      </c>
      <c r="F147" s="1" t="s">
        <v>67</v>
      </c>
      <c r="G147" s="1" t="s">
        <v>36</v>
      </c>
      <c r="H147" s="1" t="s">
        <v>37</v>
      </c>
      <c r="I147" s="1" t="s">
        <v>69</v>
      </c>
      <c r="J147">
        <v>103540</v>
      </c>
      <c r="K147">
        <v>0</v>
      </c>
      <c r="L147">
        <v>0</v>
      </c>
      <c r="M147">
        <v>0</v>
      </c>
      <c r="N147">
        <v>3</v>
      </c>
      <c r="O147" s="1" t="s">
        <v>32</v>
      </c>
      <c r="P147">
        <v>1</v>
      </c>
      <c r="Q147">
        <v>0</v>
      </c>
      <c r="R147">
        <v>0</v>
      </c>
      <c r="S147">
        <v>0</v>
      </c>
      <c r="T147">
        <v>0</v>
      </c>
      <c r="U147">
        <f>IF(openpolis_patrimoni_trasparenti_anno_2014[[#This Row],[totale_730_dichiarante]]&lt;&gt;0,LOG10(openpolis_patrimoni_trasparenti_anno_2014[[#This Row],[totale_730_dichiarante]]), 0)</f>
        <v>5.0151081606458368</v>
      </c>
    </row>
    <row r="148" spans="1:21" x14ac:dyDescent="0.3">
      <c r="A148">
        <v>15141</v>
      </c>
      <c r="B148" s="1" t="s">
        <v>367</v>
      </c>
      <c r="C148" s="1" t="s">
        <v>368</v>
      </c>
      <c r="D148" s="2">
        <v>24458</v>
      </c>
      <c r="E148" s="1" t="s">
        <v>35</v>
      </c>
      <c r="F148" s="1" t="s">
        <v>67</v>
      </c>
      <c r="G148" s="1" t="s">
        <v>36</v>
      </c>
      <c r="H148" s="1" t="s">
        <v>298</v>
      </c>
      <c r="I148" s="1" t="s">
        <v>69</v>
      </c>
      <c r="J148">
        <v>148400</v>
      </c>
      <c r="K148">
        <v>0</v>
      </c>
      <c r="L148">
        <v>0</v>
      </c>
      <c r="M148">
        <v>0</v>
      </c>
      <c r="N148">
        <v>3</v>
      </c>
      <c r="O148" s="1" t="s">
        <v>32</v>
      </c>
      <c r="P148">
        <v>75</v>
      </c>
      <c r="Q148">
        <v>0</v>
      </c>
      <c r="R148">
        <v>0</v>
      </c>
      <c r="S148">
        <v>2</v>
      </c>
      <c r="T148">
        <v>0</v>
      </c>
      <c r="U148">
        <f>IF(openpolis_patrimoni_trasparenti_anno_2014[[#This Row],[totale_730_dichiarante]]&lt;&gt;0,LOG10(openpolis_patrimoni_trasparenti_anno_2014[[#This Row],[totale_730_dichiarante]]), 0)</f>
        <v>5.1714339009430086</v>
      </c>
    </row>
    <row r="149" spans="1:21" x14ac:dyDescent="0.3">
      <c r="A149">
        <v>220625</v>
      </c>
      <c r="B149" s="1" t="s">
        <v>369</v>
      </c>
      <c r="C149" s="1" t="s">
        <v>370</v>
      </c>
      <c r="D149" s="2">
        <v>18459</v>
      </c>
      <c r="E149" s="1" t="s">
        <v>49</v>
      </c>
      <c r="F149" s="1" t="s">
        <v>67</v>
      </c>
      <c r="G149" s="1" t="s">
        <v>24</v>
      </c>
      <c r="H149" s="1" t="s">
        <v>24</v>
      </c>
      <c r="I149" s="1" t="s">
        <v>271</v>
      </c>
      <c r="J149">
        <v>127476</v>
      </c>
      <c r="K149">
        <v>0</v>
      </c>
      <c r="L149">
        <v>0</v>
      </c>
      <c r="M149">
        <v>0</v>
      </c>
      <c r="N149">
        <v>2</v>
      </c>
      <c r="O149" s="1" t="s">
        <v>43</v>
      </c>
      <c r="P149">
        <v>9</v>
      </c>
      <c r="Q149">
        <v>0</v>
      </c>
      <c r="R149">
        <v>1</v>
      </c>
      <c r="S149">
        <v>0</v>
      </c>
      <c r="T149">
        <v>0</v>
      </c>
      <c r="U149">
        <f>IF(openpolis_patrimoni_trasparenti_anno_2014[[#This Row],[totale_730_dichiarante]]&lt;&gt;0,LOG10(openpolis_patrimoni_trasparenti_anno_2014[[#This Row],[totale_730_dichiarante]]), 0)</f>
        <v>5.105428427525398</v>
      </c>
    </row>
    <row r="150" spans="1:21" x14ac:dyDescent="0.3">
      <c r="A150">
        <v>274877</v>
      </c>
      <c r="B150" s="1" t="s">
        <v>292</v>
      </c>
      <c r="C150" s="1" t="s">
        <v>371</v>
      </c>
      <c r="D150" s="2">
        <v>21087</v>
      </c>
      <c r="E150" s="1" t="s">
        <v>35</v>
      </c>
      <c r="F150" s="1" t="s">
        <v>67</v>
      </c>
      <c r="G150" s="1" t="s">
        <v>24</v>
      </c>
      <c r="H150" s="1" t="s">
        <v>24</v>
      </c>
      <c r="I150" s="1" t="s">
        <v>291</v>
      </c>
      <c r="J150">
        <v>131943</v>
      </c>
      <c r="K150">
        <v>0</v>
      </c>
      <c r="L150">
        <v>0</v>
      </c>
      <c r="M150">
        <v>0</v>
      </c>
      <c r="N150">
        <v>2</v>
      </c>
      <c r="O150" s="1" t="s">
        <v>43</v>
      </c>
      <c r="P150">
        <v>8</v>
      </c>
      <c r="Q150">
        <v>12</v>
      </c>
      <c r="R150">
        <v>5</v>
      </c>
      <c r="S150">
        <v>10</v>
      </c>
      <c r="T150">
        <v>3</v>
      </c>
      <c r="U150">
        <f>IF(openpolis_patrimoni_trasparenti_anno_2014[[#This Row],[totale_730_dichiarante]]&lt;&gt;0,LOG10(openpolis_patrimoni_trasparenti_anno_2014[[#This Row],[totale_730_dichiarante]]), 0)</f>
        <v>5.1203863544498587</v>
      </c>
    </row>
    <row r="151" spans="1:21" x14ac:dyDescent="0.3">
      <c r="A151">
        <v>276217</v>
      </c>
      <c r="B151" s="1" t="s">
        <v>372</v>
      </c>
      <c r="C151" s="1" t="s">
        <v>373</v>
      </c>
      <c r="D151" s="2">
        <v>22029</v>
      </c>
      <c r="E151" s="1" t="s">
        <v>29</v>
      </c>
      <c r="F151" s="1" t="s">
        <v>67</v>
      </c>
      <c r="G151" s="1" t="s">
        <v>36</v>
      </c>
      <c r="H151" s="1" t="s">
        <v>314</v>
      </c>
      <c r="I151" s="1" t="s">
        <v>76</v>
      </c>
      <c r="J151">
        <v>91820</v>
      </c>
      <c r="K151">
        <v>71201</v>
      </c>
      <c r="L151">
        <v>0</v>
      </c>
      <c r="M151">
        <v>0</v>
      </c>
      <c r="N151">
        <v>3</v>
      </c>
      <c r="O151" s="1" t="s">
        <v>32</v>
      </c>
      <c r="P151">
        <v>4</v>
      </c>
      <c r="Q151">
        <v>0</v>
      </c>
      <c r="R151">
        <v>1</v>
      </c>
      <c r="S151">
        <v>0</v>
      </c>
      <c r="T151">
        <v>0</v>
      </c>
      <c r="U151">
        <f>IF(openpolis_patrimoni_trasparenti_anno_2014[[#This Row],[totale_730_dichiarante]]&lt;&gt;0,LOG10(openpolis_patrimoni_trasparenti_anno_2014[[#This Row],[totale_730_dichiarante]]), 0)</f>
        <v>4.9629372884300018</v>
      </c>
    </row>
    <row r="152" spans="1:21" x14ac:dyDescent="0.3">
      <c r="A152">
        <v>165840</v>
      </c>
      <c r="B152" s="1" t="s">
        <v>141</v>
      </c>
      <c r="C152" s="1" t="s">
        <v>374</v>
      </c>
      <c r="D152" s="2">
        <v>20868</v>
      </c>
      <c r="E152" s="1" t="s">
        <v>35</v>
      </c>
      <c r="F152" s="1" t="s">
        <v>67</v>
      </c>
      <c r="G152" s="1" t="s">
        <v>24</v>
      </c>
      <c r="H152" s="1" t="s">
        <v>24</v>
      </c>
      <c r="I152" s="1" t="s">
        <v>94</v>
      </c>
      <c r="J152">
        <v>143393</v>
      </c>
      <c r="K152">
        <v>64826</v>
      </c>
      <c r="L152">
        <v>0</v>
      </c>
      <c r="M152">
        <v>0</v>
      </c>
      <c r="N152">
        <v>1</v>
      </c>
      <c r="O152" s="1" t="s">
        <v>375</v>
      </c>
      <c r="P152">
        <v>7</v>
      </c>
      <c r="Q152">
        <v>4</v>
      </c>
      <c r="R152">
        <v>2</v>
      </c>
      <c r="S152">
        <v>2</v>
      </c>
      <c r="T152">
        <v>0</v>
      </c>
      <c r="U152">
        <f>IF(openpolis_patrimoni_trasparenti_anno_2014[[#This Row],[totale_730_dichiarante]]&lt;&gt;0,LOG10(openpolis_patrimoni_trasparenti_anno_2014[[#This Row],[totale_730_dichiarante]]), 0)</f>
        <v>5.156527950944227</v>
      </c>
    </row>
    <row r="153" spans="1:21" x14ac:dyDescent="0.3">
      <c r="A153">
        <v>4546</v>
      </c>
      <c r="B153" s="1" t="s">
        <v>56</v>
      </c>
      <c r="C153" s="1" t="s">
        <v>376</v>
      </c>
      <c r="D153" s="2">
        <v>21705</v>
      </c>
      <c r="E153" s="1" t="s">
        <v>22</v>
      </c>
      <c r="F153" s="1" t="s">
        <v>377</v>
      </c>
      <c r="G153" s="1" t="s">
        <v>177</v>
      </c>
      <c r="H153" s="1" t="s">
        <v>25</v>
      </c>
      <c r="I153" s="1" t="s">
        <v>271</v>
      </c>
      <c r="J153">
        <v>119700</v>
      </c>
      <c r="K153">
        <v>0</v>
      </c>
      <c r="L153">
        <v>0</v>
      </c>
      <c r="M153">
        <v>0</v>
      </c>
      <c r="N153">
        <v>2</v>
      </c>
      <c r="O153" s="1" t="s">
        <v>43</v>
      </c>
      <c r="P153">
        <v>6</v>
      </c>
      <c r="Q153">
        <v>1</v>
      </c>
      <c r="R153">
        <v>1</v>
      </c>
      <c r="S153">
        <v>3</v>
      </c>
      <c r="T153">
        <v>0</v>
      </c>
      <c r="U153">
        <f>IF(openpolis_patrimoni_trasparenti_anno_2014[[#This Row],[totale_730_dichiarante]]&lt;&gt;0,LOG10(openpolis_patrimoni_trasparenti_anno_2014[[#This Row],[totale_730_dichiarante]]), 0)</f>
        <v>5.078094150406411</v>
      </c>
    </row>
    <row r="154" spans="1:21" x14ac:dyDescent="0.3">
      <c r="A154">
        <v>649</v>
      </c>
      <c r="B154" s="1" t="s">
        <v>378</v>
      </c>
      <c r="C154" s="1" t="s">
        <v>379</v>
      </c>
      <c r="D154" s="2">
        <v>22421</v>
      </c>
      <c r="E154" s="1" t="s">
        <v>29</v>
      </c>
      <c r="F154" s="1" t="s">
        <v>377</v>
      </c>
      <c r="G154" s="1" t="s">
        <v>177</v>
      </c>
      <c r="H154" s="1" t="s">
        <v>25</v>
      </c>
      <c r="I154" s="1" t="s">
        <v>31</v>
      </c>
      <c r="J154">
        <v>104818</v>
      </c>
      <c r="K154">
        <v>104475</v>
      </c>
      <c r="L154">
        <v>0</v>
      </c>
      <c r="M154">
        <v>0</v>
      </c>
      <c r="N154">
        <v>1</v>
      </c>
      <c r="O154" s="1" t="s">
        <v>303</v>
      </c>
      <c r="P154">
        <v>7</v>
      </c>
      <c r="Q154">
        <v>0</v>
      </c>
      <c r="R154">
        <v>1</v>
      </c>
      <c r="S154">
        <v>0</v>
      </c>
      <c r="T154">
        <v>0</v>
      </c>
      <c r="U154">
        <f>IF(openpolis_patrimoni_trasparenti_anno_2014[[#This Row],[totale_730_dichiarante]]&lt;&gt;0,LOG10(openpolis_patrimoni_trasparenti_anno_2014[[#This Row],[totale_730_dichiarante]]), 0)</f>
        <v>5.0204358688062767</v>
      </c>
    </row>
    <row r="155" spans="1:21" x14ac:dyDescent="0.3">
      <c r="A155">
        <v>1681</v>
      </c>
      <c r="B155" s="1" t="s">
        <v>380</v>
      </c>
      <c r="C155" s="1" t="s">
        <v>381</v>
      </c>
      <c r="D155" s="2">
        <v>20581</v>
      </c>
      <c r="E155" s="1" t="s">
        <v>29</v>
      </c>
      <c r="F155" s="1" t="s">
        <v>67</v>
      </c>
      <c r="G155" s="1" t="s">
        <v>24</v>
      </c>
      <c r="H155" s="1" t="s">
        <v>24</v>
      </c>
      <c r="I155" s="1" t="s">
        <v>111</v>
      </c>
      <c r="J155">
        <v>100250</v>
      </c>
      <c r="K155">
        <v>0</v>
      </c>
      <c r="L155">
        <v>0</v>
      </c>
      <c r="M155">
        <v>0</v>
      </c>
      <c r="N155">
        <v>3</v>
      </c>
      <c r="O155" s="1" t="s">
        <v>32</v>
      </c>
      <c r="P155">
        <v>0</v>
      </c>
      <c r="Q155">
        <v>1</v>
      </c>
      <c r="R155">
        <v>2</v>
      </c>
      <c r="S155">
        <v>0</v>
      </c>
      <c r="T155">
        <v>0</v>
      </c>
      <c r="U155">
        <f>IF(openpolis_patrimoni_trasparenti_anno_2014[[#This Row],[totale_730_dichiarante]]&lt;&gt;0,LOG10(openpolis_patrimoni_trasparenti_anno_2014[[#This Row],[totale_730_dichiarante]]), 0)</f>
        <v>5.0010843812922197</v>
      </c>
    </row>
    <row r="156" spans="1:21" x14ac:dyDescent="0.3">
      <c r="A156">
        <v>333147</v>
      </c>
      <c r="B156" s="1" t="s">
        <v>367</v>
      </c>
      <c r="C156" s="1" t="s">
        <v>382</v>
      </c>
      <c r="D156" s="2">
        <v>17178</v>
      </c>
      <c r="E156" s="1" t="s">
        <v>136</v>
      </c>
      <c r="F156" s="1" t="s">
        <v>67</v>
      </c>
      <c r="G156" s="1" t="s">
        <v>24</v>
      </c>
      <c r="H156" s="1" t="s">
        <v>24</v>
      </c>
      <c r="I156" s="1" t="s">
        <v>46</v>
      </c>
      <c r="J156">
        <v>128463</v>
      </c>
      <c r="K156">
        <v>35293</v>
      </c>
      <c r="L156">
        <v>0</v>
      </c>
      <c r="M156">
        <v>0</v>
      </c>
      <c r="N156">
        <v>1</v>
      </c>
      <c r="O156" s="1" t="s">
        <v>383</v>
      </c>
      <c r="P156">
        <v>2</v>
      </c>
      <c r="Q156">
        <v>0</v>
      </c>
      <c r="R156">
        <v>1</v>
      </c>
      <c r="S156">
        <v>0</v>
      </c>
      <c r="T156">
        <v>0</v>
      </c>
      <c r="U156">
        <f>IF(openpolis_patrimoni_trasparenti_anno_2014[[#This Row],[totale_730_dichiarante]]&lt;&gt;0,LOG10(openpolis_patrimoni_trasparenti_anno_2014[[#This Row],[totale_730_dichiarante]]), 0)</f>
        <v>5.1087780598875829</v>
      </c>
    </row>
    <row r="157" spans="1:21" x14ac:dyDescent="0.3">
      <c r="A157">
        <v>332707</v>
      </c>
      <c r="B157" s="1" t="s">
        <v>160</v>
      </c>
      <c r="C157" s="1" t="s">
        <v>384</v>
      </c>
      <c r="D157" s="2">
        <v>26908</v>
      </c>
      <c r="E157" s="1" t="s">
        <v>35</v>
      </c>
      <c r="F157" s="1" t="s">
        <v>176</v>
      </c>
      <c r="G157" s="1" t="s">
        <v>177</v>
      </c>
      <c r="H157" s="1" t="s">
        <v>25</v>
      </c>
      <c r="I157" s="1" t="s">
        <v>111</v>
      </c>
      <c r="J157">
        <v>103661</v>
      </c>
      <c r="K157">
        <v>0</v>
      </c>
      <c r="L157">
        <v>0</v>
      </c>
      <c r="M157">
        <v>0</v>
      </c>
      <c r="N157">
        <v>3</v>
      </c>
      <c r="O157" s="1" t="s">
        <v>32</v>
      </c>
      <c r="P157">
        <v>1</v>
      </c>
      <c r="Q157">
        <v>0</v>
      </c>
      <c r="R157">
        <v>1</v>
      </c>
      <c r="S157">
        <v>3</v>
      </c>
      <c r="T157">
        <v>0</v>
      </c>
      <c r="U157">
        <f>IF(openpolis_patrimoni_trasparenti_anno_2014[[#This Row],[totale_730_dichiarante]]&lt;&gt;0,LOG10(openpolis_patrimoni_trasparenti_anno_2014[[#This Row],[totale_730_dichiarante]]), 0)</f>
        <v>5.0156153940885702</v>
      </c>
    </row>
    <row r="158" spans="1:21" x14ac:dyDescent="0.3">
      <c r="A158">
        <v>687161</v>
      </c>
      <c r="B158" s="1" t="s">
        <v>367</v>
      </c>
      <c r="C158" s="1" t="s">
        <v>385</v>
      </c>
      <c r="D158" s="2">
        <v>26232</v>
      </c>
      <c r="E158" s="1" t="s">
        <v>29</v>
      </c>
      <c r="F158" s="1" t="s">
        <v>67</v>
      </c>
      <c r="G158" s="1" t="s">
        <v>102</v>
      </c>
      <c r="H158" s="1" t="s">
        <v>102</v>
      </c>
      <c r="I158" s="1" t="s">
        <v>89</v>
      </c>
      <c r="J158">
        <v>90893</v>
      </c>
      <c r="K158">
        <v>41996</v>
      </c>
      <c r="L158">
        <v>0</v>
      </c>
      <c r="M158">
        <v>0</v>
      </c>
      <c r="N158">
        <v>3</v>
      </c>
      <c r="O158" s="1" t="s">
        <v>32</v>
      </c>
      <c r="P158">
        <v>1</v>
      </c>
      <c r="Q158">
        <v>0</v>
      </c>
      <c r="R158">
        <v>1</v>
      </c>
      <c r="S158">
        <v>0</v>
      </c>
      <c r="T158">
        <v>0</v>
      </c>
      <c r="U158">
        <f>IF(openpolis_patrimoni_trasparenti_anno_2014[[#This Row],[totale_730_dichiarante]]&lt;&gt;0,LOG10(openpolis_patrimoni_trasparenti_anno_2014[[#This Row],[totale_730_dichiarante]]), 0)</f>
        <v>4.9585304379146695</v>
      </c>
    </row>
    <row r="159" spans="1:21" x14ac:dyDescent="0.3">
      <c r="A159">
        <v>1460</v>
      </c>
      <c r="B159" s="1" t="s">
        <v>265</v>
      </c>
      <c r="C159" s="1" t="s">
        <v>386</v>
      </c>
      <c r="D159" s="2">
        <v>22336</v>
      </c>
      <c r="E159" s="1" t="s">
        <v>86</v>
      </c>
      <c r="F159" s="1" t="s">
        <v>67</v>
      </c>
      <c r="G159" s="1" t="s">
        <v>36</v>
      </c>
      <c r="H159" s="1" t="s">
        <v>314</v>
      </c>
      <c r="I159" s="1" t="s">
        <v>291</v>
      </c>
      <c r="J159">
        <v>99707</v>
      </c>
      <c r="K159">
        <v>0</v>
      </c>
      <c r="L159">
        <v>0</v>
      </c>
      <c r="M159">
        <v>0</v>
      </c>
      <c r="N159">
        <v>3</v>
      </c>
      <c r="O159" s="1" t="s">
        <v>32</v>
      </c>
      <c r="P159">
        <v>2</v>
      </c>
      <c r="Q159">
        <v>0</v>
      </c>
      <c r="R159">
        <v>1</v>
      </c>
      <c r="S159">
        <v>0</v>
      </c>
      <c r="T159">
        <v>0</v>
      </c>
      <c r="U159">
        <f>IF(openpolis_patrimoni_trasparenti_anno_2014[[#This Row],[totale_730_dichiarante]]&lt;&gt;0,LOG10(openpolis_patrimoni_trasparenti_anno_2014[[#This Row],[totale_730_dichiarante]]), 0)</f>
        <v>4.9987256493312744</v>
      </c>
    </row>
    <row r="160" spans="1:21" x14ac:dyDescent="0.3">
      <c r="A160">
        <v>23249</v>
      </c>
      <c r="B160" s="1" t="s">
        <v>387</v>
      </c>
      <c r="C160" s="1" t="s">
        <v>388</v>
      </c>
      <c r="D160" s="2">
        <v>21402</v>
      </c>
      <c r="E160" s="1" t="s">
        <v>49</v>
      </c>
      <c r="F160" s="1" t="s">
        <v>67</v>
      </c>
      <c r="G160" s="1" t="s">
        <v>36</v>
      </c>
      <c r="H160" s="1" t="s">
        <v>37</v>
      </c>
      <c r="I160" s="1" t="s">
        <v>94</v>
      </c>
      <c r="J160">
        <v>106421</v>
      </c>
      <c r="K160">
        <v>0</v>
      </c>
      <c r="L160">
        <v>0</v>
      </c>
      <c r="M160">
        <v>0</v>
      </c>
      <c r="N160">
        <v>3</v>
      </c>
      <c r="O160" s="1" t="s">
        <v>32</v>
      </c>
      <c r="P160">
        <v>1</v>
      </c>
      <c r="Q160">
        <v>5</v>
      </c>
      <c r="R160">
        <v>1</v>
      </c>
      <c r="S160">
        <v>0</v>
      </c>
      <c r="T160">
        <v>0</v>
      </c>
      <c r="U160">
        <f>IF(openpolis_patrimoni_trasparenti_anno_2014[[#This Row],[totale_730_dichiarante]]&lt;&gt;0,LOG10(openpolis_patrimoni_trasparenti_anno_2014[[#This Row],[totale_730_dichiarante]]), 0)</f>
        <v>5.0270273355174897</v>
      </c>
    </row>
    <row r="161" spans="1:21" x14ac:dyDescent="0.3">
      <c r="A161">
        <v>415955</v>
      </c>
      <c r="B161" s="1" t="s">
        <v>389</v>
      </c>
      <c r="C161" s="1" t="s">
        <v>390</v>
      </c>
      <c r="D161" s="2">
        <v>23661</v>
      </c>
      <c r="E161" s="1" t="s">
        <v>146</v>
      </c>
      <c r="F161" s="1" t="s">
        <v>67</v>
      </c>
      <c r="G161" s="1" t="s">
        <v>298</v>
      </c>
      <c r="H161" s="1" t="s">
        <v>298</v>
      </c>
      <c r="I161" s="1" t="s">
        <v>271</v>
      </c>
      <c r="J161">
        <v>117994</v>
      </c>
      <c r="K161">
        <v>5415</v>
      </c>
      <c r="L161">
        <v>0</v>
      </c>
      <c r="M161">
        <v>0</v>
      </c>
      <c r="N161">
        <v>3</v>
      </c>
      <c r="O161" s="1" t="s">
        <v>83</v>
      </c>
      <c r="P161">
        <v>3</v>
      </c>
      <c r="Q161">
        <v>0</v>
      </c>
      <c r="R161">
        <v>2</v>
      </c>
      <c r="S161">
        <v>1</v>
      </c>
      <c r="T161">
        <v>1</v>
      </c>
      <c r="U161">
        <f>IF(openpolis_patrimoni_trasparenti_anno_2014[[#This Row],[totale_730_dichiarante]]&lt;&gt;0,LOG10(openpolis_patrimoni_trasparenti_anno_2014[[#This Row],[totale_730_dichiarante]]), 0)</f>
        <v>5.0718599239744133</v>
      </c>
    </row>
    <row r="162" spans="1:21" x14ac:dyDescent="0.3">
      <c r="A162">
        <v>685759</v>
      </c>
      <c r="B162" s="1" t="s">
        <v>391</v>
      </c>
      <c r="C162" s="1" t="s">
        <v>392</v>
      </c>
      <c r="D162" s="2">
        <v>23415</v>
      </c>
      <c r="E162" s="1" t="s">
        <v>49</v>
      </c>
      <c r="F162" s="1" t="s">
        <v>67</v>
      </c>
      <c r="G162" s="1" t="s">
        <v>102</v>
      </c>
      <c r="H162" s="1" t="s">
        <v>102</v>
      </c>
      <c r="I162" s="1" t="s">
        <v>393</v>
      </c>
      <c r="J162">
        <v>84093</v>
      </c>
      <c r="K162">
        <v>0</v>
      </c>
      <c r="L162">
        <v>0</v>
      </c>
      <c r="M162">
        <v>0</v>
      </c>
      <c r="N162">
        <v>2</v>
      </c>
      <c r="O162" s="1" t="s">
        <v>43</v>
      </c>
      <c r="P162">
        <v>5</v>
      </c>
      <c r="Q162">
        <v>14</v>
      </c>
      <c r="R162">
        <v>1</v>
      </c>
      <c r="S162">
        <v>0</v>
      </c>
      <c r="T162">
        <v>0</v>
      </c>
      <c r="U162">
        <f>IF(openpolis_patrimoni_trasparenti_anno_2014[[#This Row],[totale_730_dichiarante]]&lt;&gt;0,LOG10(openpolis_patrimoni_trasparenti_anno_2014[[#This Row],[totale_730_dichiarante]]), 0)</f>
        <v>4.9247598461201605</v>
      </c>
    </row>
    <row r="163" spans="1:21" x14ac:dyDescent="0.3">
      <c r="A163">
        <v>4825</v>
      </c>
      <c r="B163" s="1" t="s">
        <v>394</v>
      </c>
      <c r="C163" s="1" t="s">
        <v>395</v>
      </c>
      <c r="D163" s="2">
        <v>24761</v>
      </c>
      <c r="E163" s="1" t="s">
        <v>22</v>
      </c>
      <c r="F163" s="1" t="s">
        <v>67</v>
      </c>
      <c r="G163" s="1" t="s">
        <v>126</v>
      </c>
      <c r="H163" s="1" t="s">
        <v>54</v>
      </c>
      <c r="I163" s="1" t="s">
        <v>46</v>
      </c>
      <c r="J163">
        <v>98839</v>
      </c>
      <c r="K163">
        <v>0</v>
      </c>
      <c r="L163">
        <v>0</v>
      </c>
      <c r="M163">
        <v>0</v>
      </c>
      <c r="N163">
        <v>3</v>
      </c>
      <c r="O163" s="1" t="s">
        <v>32</v>
      </c>
      <c r="P163">
        <v>1</v>
      </c>
      <c r="Q163">
        <v>0</v>
      </c>
      <c r="R163">
        <v>1</v>
      </c>
      <c r="S163">
        <v>0</v>
      </c>
      <c r="T163">
        <v>1</v>
      </c>
      <c r="U163">
        <f>IF(openpolis_patrimoni_trasparenti_anno_2014[[#This Row],[totale_730_dichiarante]]&lt;&gt;0,LOG10(openpolis_patrimoni_trasparenti_anno_2014[[#This Row],[totale_730_dichiarante]]), 0)</f>
        <v>4.9949283427935898</v>
      </c>
    </row>
    <row r="164" spans="1:21" x14ac:dyDescent="0.3">
      <c r="A164">
        <v>687073</v>
      </c>
      <c r="B164" s="1" t="s">
        <v>396</v>
      </c>
      <c r="C164" s="1" t="s">
        <v>397</v>
      </c>
      <c r="D164" s="2">
        <v>22953</v>
      </c>
      <c r="E164" s="1" t="s">
        <v>49</v>
      </c>
      <c r="F164" s="1" t="s">
        <v>67</v>
      </c>
      <c r="G164" s="1" t="s">
        <v>102</v>
      </c>
      <c r="H164" s="1" t="s">
        <v>314</v>
      </c>
      <c r="I164" s="1" t="s">
        <v>286</v>
      </c>
      <c r="J164">
        <v>82954</v>
      </c>
      <c r="K164">
        <v>0</v>
      </c>
      <c r="L164">
        <v>0</v>
      </c>
      <c r="M164">
        <v>103</v>
      </c>
      <c r="N164">
        <v>2</v>
      </c>
      <c r="O164" s="1" t="s">
        <v>43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f>IF(openpolis_patrimoni_trasparenti_anno_2014[[#This Row],[totale_730_dichiarante]]&lt;&gt;0,LOG10(openpolis_patrimoni_trasparenti_anno_2014[[#This Row],[totale_730_dichiarante]]), 0)</f>
        <v>4.9188373323259498</v>
      </c>
    </row>
    <row r="165" spans="1:21" x14ac:dyDescent="0.3">
      <c r="A165">
        <v>1673</v>
      </c>
      <c r="B165" s="1" t="s">
        <v>233</v>
      </c>
      <c r="C165" s="1" t="s">
        <v>398</v>
      </c>
      <c r="D165" s="2">
        <v>20230</v>
      </c>
      <c r="E165" s="1" t="s">
        <v>49</v>
      </c>
      <c r="F165" s="1" t="s">
        <v>67</v>
      </c>
      <c r="G165" s="1" t="s">
        <v>24</v>
      </c>
      <c r="H165" s="1" t="s">
        <v>24</v>
      </c>
      <c r="I165" s="1" t="s">
        <v>191</v>
      </c>
      <c r="J165">
        <v>100388</v>
      </c>
      <c r="K165">
        <v>0</v>
      </c>
      <c r="L165">
        <v>0</v>
      </c>
      <c r="M165">
        <v>0</v>
      </c>
      <c r="N165">
        <v>3</v>
      </c>
      <c r="O165" s="1" t="s">
        <v>32</v>
      </c>
      <c r="P165">
        <v>5</v>
      </c>
      <c r="Q165">
        <v>0</v>
      </c>
      <c r="R165">
        <v>1</v>
      </c>
      <c r="S165">
        <v>2</v>
      </c>
      <c r="T165">
        <v>0</v>
      </c>
      <c r="U165">
        <f>IF(openpolis_patrimoni_trasparenti_anno_2014[[#This Row],[totale_730_dichiarante]]&lt;&gt;0,LOG10(openpolis_patrimoni_trasparenti_anno_2014[[#This Row],[totale_730_dichiarante]]), 0)</f>
        <v>5.0016818019996991</v>
      </c>
    </row>
    <row r="166" spans="1:21" x14ac:dyDescent="0.3">
      <c r="A166">
        <v>637461</v>
      </c>
      <c r="B166" s="1" t="s">
        <v>399</v>
      </c>
      <c r="C166" s="1" t="s">
        <v>400</v>
      </c>
      <c r="D166" s="2">
        <v>22176</v>
      </c>
      <c r="E166" s="1" t="s">
        <v>22</v>
      </c>
      <c r="F166" s="1" t="s">
        <v>67</v>
      </c>
      <c r="G166" s="1" t="s">
        <v>24</v>
      </c>
      <c r="H166" s="1" t="s">
        <v>24</v>
      </c>
      <c r="I166" s="1" t="s">
        <v>291</v>
      </c>
      <c r="J166">
        <v>103577</v>
      </c>
      <c r="K166">
        <v>0</v>
      </c>
      <c r="L166">
        <v>0</v>
      </c>
      <c r="M166">
        <v>0</v>
      </c>
      <c r="N166">
        <v>3</v>
      </c>
      <c r="O166" s="1" t="s">
        <v>32</v>
      </c>
      <c r="P166">
        <v>1</v>
      </c>
      <c r="Q166">
        <v>0</v>
      </c>
      <c r="R166">
        <v>1</v>
      </c>
      <c r="S166">
        <v>0</v>
      </c>
      <c r="T166">
        <v>0</v>
      </c>
      <c r="U166">
        <f>IF(openpolis_patrimoni_trasparenti_anno_2014[[#This Row],[totale_730_dichiarante]]&lt;&gt;0,LOG10(openpolis_patrimoni_trasparenti_anno_2014[[#This Row],[totale_730_dichiarante]]), 0)</f>
        <v>5.0152633279763927</v>
      </c>
    </row>
    <row r="167" spans="1:21" x14ac:dyDescent="0.3">
      <c r="A167">
        <v>8852</v>
      </c>
      <c r="B167" s="1" t="s">
        <v>162</v>
      </c>
      <c r="C167" s="1" t="s">
        <v>401</v>
      </c>
      <c r="D167" s="2">
        <v>21908</v>
      </c>
      <c r="E167" s="1" t="s">
        <v>49</v>
      </c>
      <c r="F167" s="1" t="s">
        <v>67</v>
      </c>
      <c r="G167" s="1" t="s">
        <v>283</v>
      </c>
      <c r="H167" s="1" t="s">
        <v>279</v>
      </c>
      <c r="I167" s="1" t="s">
        <v>284</v>
      </c>
      <c r="J167">
        <v>141082</v>
      </c>
      <c r="K167">
        <v>0</v>
      </c>
      <c r="L167">
        <v>0</v>
      </c>
      <c r="M167">
        <v>0</v>
      </c>
      <c r="N167">
        <v>3</v>
      </c>
      <c r="O167" s="1" t="s">
        <v>32</v>
      </c>
      <c r="P167">
        <v>7</v>
      </c>
      <c r="Q167">
        <v>4</v>
      </c>
      <c r="R167">
        <v>1</v>
      </c>
      <c r="S167">
        <v>2</v>
      </c>
      <c r="T167">
        <v>0</v>
      </c>
      <c r="U167">
        <f>IF(openpolis_patrimoni_trasparenti_anno_2014[[#This Row],[totale_730_dichiarante]]&lt;&gt;0,LOG10(openpolis_patrimoni_trasparenti_anno_2014[[#This Row],[totale_730_dichiarante]]), 0)</f>
        <v>5.1494716076640596</v>
      </c>
    </row>
    <row r="168" spans="1:21" x14ac:dyDescent="0.3">
      <c r="A168">
        <v>276974</v>
      </c>
      <c r="B168" s="1" t="s">
        <v>84</v>
      </c>
      <c r="C168" s="1" t="s">
        <v>402</v>
      </c>
      <c r="D168" s="2">
        <v>18805</v>
      </c>
      <c r="E168" s="1" t="s">
        <v>49</v>
      </c>
      <c r="F168" s="1" t="s">
        <v>67</v>
      </c>
      <c r="G168" s="1" t="s">
        <v>36</v>
      </c>
      <c r="H168" s="1" t="s">
        <v>168</v>
      </c>
      <c r="I168" s="1" t="s">
        <v>345</v>
      </c>
      <c r="J168">
        <v>102833</v>
      </c>
      <c r="K168">
        <v>0</v>
      </c>
      <c r="L168">
        <v>0</v>
      </c>
      <c r="M168">
        <v>0</v>
      </c>
      <c r="N168">
        <v>3</v>
      </c>
      <c r="O168" s="1" t="s">
        <v>32</v>
      </c>
      <c r="P168">
        <v>7</v>
      </c>
      <c r="Q168">
        <v>1</v>
      </c>
      <c r="R168">
        <v>3</v>
      </c>
      <c r="S168">
        <v>0</v>
      </c>
      <c r="T168">
        <v>0</v>
      </c>
      <c r="U168">
        <f>IF(openpolis_patrimoni_trasparenti_anno_2014[[#This Row],[totale_730_dichiarante]]&lt;&gt;0,LOG10(openpolis_patrimoni_trasparenti_anno_2014[[#This Row],[totale_730_dichiarante]]), 0)</f>
        <v>5.0121325058856243</v>
      </c>
    </row>
    <row r="169" spans="1:21" x14ac:dyDescent="0.3">
      <c r="A169">
        <v>686989</v>
      </c>
      <c r="B169" s="1" t="s">
        <v>403</v>
      </c>
      <c r="C169" s="1" t="s">
        <v>404</v>
      </c>
      <c r="D169" s="2">
        <v>22287</v>
      </c>
      <c r="E169" s="1" t="s">
        <v>63</v>
      </c>
      <c r="F169" s="1" t="s">
        <v>67</v>
      </c>
      <c r="G169" s="1" t="s">
        <v>102</v>
      </c>
      <c r="H169" s="1" t="s">
        <v>102</v>
      </c>
      <c r="I169" s="1" t="s">
        <v>46</v>
      </c>
      <c r="J169">
        <v>60087</v>
      </c>
      <c r="K169">
        <v>0</v>
      </c>
      <c r="L169">
        <v>0</v>
      </c>
      <c r="M169">
        <v>0</v>
      </c>
      <c r="N169">
        <v>2</v>
      </c>
      <c r="O169" s="1" t="s">
        <v>43</v>
      </c>
      <c r="P169">
        <v>0</v>
      </c>
      <c r="Q169">
        <v>0</v>
      </c>
      <c r="R169">
        <v>2</v>
      </c>
      <c r="S169">
        <v>0</v>
      </c>
      <c r="T169">
        <v>0</v>
      </c>
      <c r="U169">
        <f>IF(openpolis_patrimoni_trasparenti_anno_2014[[#This Row],[totale_730_dichiarante]]&lt;&gt;0,LOG10(openpolis_patrimoni_trasparenti_anno_2014[[#This Row],[totale_730_dichiarante]]), 0)</f>
        <v>4.7787805212711838</v>
      </c>
    </row>
    <row r="170" spans="1:21" x14ac:dyDescent="0.3">
      <c r="A170">
        <v>346191</v>
      </c>
      <c r="B170" s="1" t="s">
        <v>203</v>
      </c>
      <c r="C170" s="1" t="s">
        <v>405</v>
      </c>
      <c r="D170" s="2">
        <v>18541</v>
      </c>
      <c r="E170" s="1" t="s">
        <v>41</v>
      </c>
      <c r="F170" s="1" t="s">
        <v>67</v>
      </c>
      <c r="G170" s="1" t="s">
        <v>24</v>
      </c>
      <c r="H170" s="1" t="s">
        <v>24</v>
      </c>
      <c r="I170" s="1" t="s">
        <v>111</v>
      </c>
      <c r="J170">
        <v>166583</v>
      </c>
      <c r="K170">
        <v>36799</v>
      </c>
      <c r="L170">
        <v>0</v>
      </c>
      <c r="M170">
        <v>0</v>
      </c>
      <c r="N170">
        <v>1</v>
      </c>
      <c r="O170" s="1" t="s">
        <v>303</v>
      </c>
      <c r="P170">
        <v>17</v>
      </c>
      <c r="Q170">
        <v>0</v>
      </c>
      <c r="R170">
        <v>0</v>
      </c>
      <c r="S170">
        <v>1</v>
      </c>
      <c r="T170">
        <v>0</v>
      </c>
      <c r="U170">
        <f>IF(openpolis_patrimoni_trasparenti_anno_2014[[#This Row],[totale_730_dichiarante]]&lt;&gt;0,LOG10(openpolis_patrimoni_trasparenti_anno_2014[[#This Row],[totale_730_dichiarante]]), 0)</f>
        <v>5.2216306790461475</v>
      </c>
    </row>
    <row r="171" spans="1:21" x14ac:dyDescent="0.3">
      <c r="A171">
        <v>687142</v>
      </c>
      <c r="B171" s="1" t="s">
        <v>406</v>
      </c>
      <c r="C171" s="1" t="s">
        <v>407</v>
      </c>
      <c r="D171" s="2">
        <v>24479</v>
      </c>
      <c r="E171" s="1" t="s">
        <v>49</v>
      </c>
      <c r="F171" s="1" t="s">
        <v>67</v>
      </c>
      <c r="G171" s="1" t="s">
        <v>24</v>
      </c>
      <c r="H171" s="1" t="s">
        <v>24</v>
      </c>
      <c r="I171" s="1" t="s">
        <v>345</v>
      </c>
      <c r="J171">
        <v>85245</v>
      </c>
      <c r="K171">
        <v>0</v>
      </c>
      <c r="L171">
        <v>0</v>
      </c>
      <c r="M171">
        <v>0</v>
      </c>
      <c r="N171">
        <v>3</v>
      </c>
      <c r="O171" s="1" t="s">
        <v>32</v>
      </c>
      <c r="P171">
        <v>0</v>
      </c>
      <c r="Q171">
        <v>0</v>
      </c>
      <c r="R171">
        <v>2</v>
      </c>
      <c r="S171">
        <v>0</v>
      </c>
      <c r="T171">
        <v>0</v>
      </c>
      <c r="U171">
        <f>IF(openpolis_patrimoni_trasparenti_anno_2014[[#This Row],[totale_730_dichiarante]]&lt;&gt;0,LOG10(openpolis_patrimoni_trasparenti_anno_2014[[#This Row],[totale_730_dichiarante]]), 0)</f>
        <v>4.9306689151004113</v>
      </c>
    </row>
    <row r="172" spans="1:21" x14ac:dyDescent="0.3">
      <c r="A172">
        <v>8145</v>
      </c>
      <c r="B172" s="1" t="s">
        <v>408</v>
      </c>
      <c r="C172" s="1" t="s">
        <v>409</v>
      </c>
      <c r="D172" s="2">
        <v>20927</v>
      </c>
      <c r="E172" s="1" t="s">
        <v>75</v>
      </c>
      <c r="F172" s="1" t="s">
        <v>67</v>
      </c>
      <c r="G172" s="1" t="s">
        <v>24</v>
      </c>
      <c r="H172" s="1" t="s">
        <v>24</v>
      </c>
      <c r="I172" s="1" t="s">
        <v>345</v>
      </c>
      <c r="J172">
        <v>92569</v>
      </c>
      <c r="K172">
        <v>0</v>
      </c>
      <c r="L172">
        <v>0</v>
      </c>
      <c r="M172">
        <v>0</v>
      </c>
      <c r="N172">
        <v>3</v>
      </c>
      <c r="O172" s="1" t="s">
        <v>32</v>
      </c>
      <c r="P172">
        <v>5</v>
      </c>
      <c r="Q172">
        <v>1</v>
      </c>
      <c r="R172">
        <v>1</v>
      </c>
      <c r="S172">
        <v>0</v>
      </c>
      <c r="T172">
        <v>0</v>
      </c>
      <c r="U172">
        <f>IF(openpolis_patrimoni_trasparenti_anno_2014[[#This Row],[totale_730_dichiarante]]&lt;&gt;0,LOG10(openpolis_patrimoni_trasparenti_anno_2014[[#This Row],[totale_730_dichiarante]]), 0)</f>
        <v>4.9664655721788069</v>
      </c>
    </row>
    <row r="173" spans="1:21" x14ac:dyDescent="0.3">
      <c r="A173">
        <v>685869</v>
      </c>
      <c r="B173" s="1" t="s">
        <v>265</v>
      </c>
      <c r="C173" s="1" t="s">
        <v>410</v>
      </c>
      <c r="D173" s="2">
        <v>25623</v>
      </c>
      <c r="E173" s="1" t="s">
        <v>29</v>
      </c>
      <c r="F173" s="1" t="s">
        <v>377</v>
      </c>
      <c r="G173" s="1" t="s">
        <v>237</v>
      </c>
      <c r="H173" s="1" t="s">
        <v>279</v>
      </c>
      <c r="I173" s="1" t="s">
        <v>69</v>
      </c>
      <c r="J173">
        <v>98123</v>
      </c>
      <c r="K173">
        <v>0</v>
      </c>
      <c r="L173">
        <v>0</v>
      </c>
      <c r="M173">
        <v>0</v>
      </c>
      <c r="N173">
        <v>2</v>
      </c>
      <c r="O173" s="1" t="s">
        <v>411</v>
      </c>
      <c r="P173">
        <v>6</v>
      </c>
      <c r="Q173">
        <v>0</v>
      </c>
      <c r="R173">
        <v>0</v>
      </c>
      <c r="S173">
        <v>0</v>
      </c>
      <c r="T173">
        <v>0</v>
      </c>
      <c r="U173">
        <f>IF(openpolis_patrimoni_trasparenti_anno_2014[[#This Row],[totale_730_dichiarante]]&lt;&gt;0,LOG10(openpolis_patrimoni_trasparenti_anno_2014[[#This Row],[totale_730_dichiarante]]), 0)</f>
        <v>4.9917708178010463</v>
      </c>
    </row>
    <row r="174" spans="1:21" x14ac:dyDescent="0.3">
      <c r="A174">
        <v>685957</v>
      </c>
      <c r="B174" s="1" t="s">
        <v>160</v>
      </c>
      <c r="C174" s="1" t="s">
        <v>412</v>
      </c>
      <c r="D174" s="2">
        <v>22942</v>
      </c>
      <c r="E174" s="1" t="s">
        <v>140</v>
      </c>
      <c r="F174" s="1" t="s">
        <v>67</v>
      </c>
      <c r="G174" s="1" t="s">
        <v>102</v>
      </c>
      <c r="H174" s="1" t="s">
        <v>102</v>
      </c>
      <c r="I174" s="1" t="s">
        <v>286</v>
      </c>
      <c r="J174">
        <v>81056</v>
      </c>
      <c r="K174">
        <v>0</v>
      </c>
      <c r="L174">
        <v>0</v>
      </c>
      <c r="M174">
        <v>0</v>
      </c>
      <c r="N174">
        <v>3</v>
      </c>
      <c r="O174" s="1" t="s">
        <v>32</v>
      </c>
      <c r="P174">
        <v>0</v>
      </c>
      <c r="Q174">
        <v>0</v>
      </c>
      <c r="R174">
        <v>1</v>
      </c>
      <c r="S174">
        <v>0</v>
      </c>
      <c r="T174">
        <v>0</v>
      </c>
      <c r="U174">
        <f>IF(openpolis_patrimoni_trasparenti_anno_2014[[#This Row],[totale_730_dichiarante]]&lt;&gt;0,LOG10(openpolis_patrimoni_trasparenti_anno_2014[[#This Row],[totale_730_dichiarante]]), 0)</f>
        <v>4.9087851681104535</v>
      </c>
    </row>
    <row r="175" spans="1:21" x14ac:dyDescent="0.3">
      <c r="A175">
        <v>234249</v>
      </c>
      <c r="B175" s="1" t="s">
        <v>44</v>
      </c>
      <c r="C175" s="1" t="s">
        <v>413</v>
      </c>
      <c r="D175" s="2">
        <v>21481</v>
      </c>
      <c r="E175" s="1" t="s">
        <v>156</v>
      </c>
      <c r="F175" s="1" t="s">
        <v>67</v>
      </c>
      <c r="G175" s="1" t="s">
        <v>53</v>
      </c>
      <c r="H175" s="1" t="s">
        <v>314</v>
      </c>
      <c r="I175" s="1" t="s">
        <v>271</v>
      </c>
      <c r="J175">
        <v>124884</v>
      </c>
      <c r="K175">
        <v>0</v>
      </c>
      <c r="L175">
        <v>0</v>
      </c>
      <c r="M175">
        <v>0</v>
      </c>
      <c r="N175">
        <v>3</v>
      </c>
      <c r="O175" s="1" t="s">
        <v>32</v>
      </c>
      <c r="P175">
        <v>8</v>
      </c>
      <c r="Q175">
        <v>0</v>
      </c>
      <c r="R175">
        <v>0</v>
      </c>
      <c r="S175">
        <v>2</v>
      </c>
      <c r="T175">
        <v>0</v>
      </c>
      <c r="U175">
        <f>IF(openpolis_patrimoni_trasparenti_anno_2014[[#This Row],[totale_730_dichiarante]]&lt;&gt;0,LOG10(openpolis_patrimoni_trasparenti_anno_2014[[#This Row],[totale_730_dichiarante]]), 0)</f>
        <v>5.0965068006093475</v>
      </c>
    </row>
    <row r="176" spans="1:21" x14ac:dyDescent="0.3">
      <c r="A176">
        <v>686966</v>
      </c>
      <c r="B176" s="1" t="s">
        <v>329</v>
      </c>
      <c r="C176" s="1" t="s">
        <v>414</v>
      </c>
      <c r="D176" s="2">
        <v>24474</v>
      </c>
      <c r="E176" s="1" t="s">
        <v>29</v>
      </c>
      <c r="F176" s="1" t="s">
        <v>67</v>
      </c>
      <c r="G176" s="1" t="s">
        <v>102</v>
      </c>
      <c r="H176" s="1" t="s">
        <v>54</v>
      </c>
      <c r="I176" s="1" t="s">
        <v>111</v>
      </c>
      <c r="J176">
        <v>89568</v>
      </c>
      <c r="K176">
        <v>0</v>
      </c>
      <c r="L176">
        <v>0</v>
      </c>
      <c r="M176">
        <v>0</v>
      </c>
      <c r="N176">
        <v>2</v>
      </c>
      <c r="O176" s="1" t="s">
        <v>43</v>
      </c>
      <c r="P176">
        <v>0</v>
      </c>
      <c r="Q176">
        <v>0</v>
      </c>
      <c r="R176">
        <v>1</v>
      </c>
      <c r="S176">
        <v>0</v>
      </c>
      <c r="T176">
        <v>0</v>
      </c>
      <c r="U176">
        <f>IF(openpolis_patrimoni_trasparenti_anno_2014[[#This Row],[totale_730_dichiarante]]&lt;&gt;0,LOG10(openpolis_patrimoni_trasparenti_anno_2014[[#This Row],[totale_730_dichiarante]]), 0)</f>
        <v>4.9521528767860685</v>
      </c>
    </row>
    <row r="177" spans="1:21" x14ac:dyDescent="0.3">
      <c r="A177">
        <v>685948</v>
      </c>
      <c r="B177" s="1" t="s">
        <v>415</v>
      </c>
      <c r="C177" s="1" t="s">
        <v>416</v>
      </c>
      <c r="D177" s="2">
        <v>19705</v>
      </c>
      <c r="E177" s="1" t="s">
        <v>156</v>
      </c>
      <c r="F177" s="1" t="s">
        <v>67</v>
      </c>
      <c r="G177" s="1" t="s">
        <v>24</v>
      </c>
      <c r="H177" s="1" t="s">
        <v>24</v>
      </c>
      <c r="I177" s="1" t="s">
        <v>271</v>
      </c>
      <c r="J177">
        <v>245063</v>
      </c>
      <c r="K177">
        <v>0</v>
      </c>
      <c r="L177">
        <v>0</v>
      </c>
      <c r="M177">
        <v>0</v>
      </c>
      <c r="N177">
        <v>3</v>
      </c>
      <c r="O177" s="1" t="s">
        <v>32</v>
      </c>
      <c r="P177">
        <v>2</v>
      </c>
      <c r="Q177">
        <v>0</v>
      </c>
      <c r="R177">
        <v>2</v>
      </c>
      <c r="S177">
        <v>76</v>
      </c>
      <c r="T177">
        <v>0</v>
      </c>
      <c r="U177">
        <f>IF(openpolis_patrimoni_trasparenti_anno_2014[[#This Row],[totale_730_dichiarante]]&lt;&gt;0,LOG10(openpolis_patrimoni_trasparenti_anno_2014[[#This Row],[totale_730_dichiarante]]), 0)</f>
        <v>5.3892777457326044</v>
      </c>
    </row>
    <row r="178" spans="1:21" x14ac:dyDescent="0.3">
      <c r="A178">
        <v>249413</v>
      </c>
      <c r="B178" s="1" t="s">
        <v>276</v>
      </c>
      <c r="C178" s="1" t="s">
        <v>417</v>
      </c>
      <c r="D178" s="2">
        <v>22888</v>
      </c>
      <c r="E178" s="1" t="s">
        <v>41</v>
      </c>
      <c r="F178" s="1" t="s">
        <v>67</v>
      </c>
      <c r="G178" s="1" t="s">
        <v>24</v>
      </c>
      <c r="H178" s="1" t="s">
        <v>24</v>
      </c>
      <c r="I178" s="1" t="s">
        <v>291</v>
      </c>
      <c r="J178">
        <v>112305</v>
      </c>
      <c r="K178">
        <v>0</v>
      </c>
      <c r="L178">
        <v>0</v>
      </c>
      <c r="M178">
        <v>0</v>
      </c>
      <c r="N178">
        <v>3</v>
      </c>
      <c r="O178" s="1" t="s">
        <v>32</v>
      </c>
      <c r="P178">
        <v>0</v>
      </c>
      <c r="Q178">
        <v>0</v>
      </c>
      <c r="R178">
        <v>1</v>
      </c>
      <c r="S178">
        <v>1</v>
      </c>
      <c r="T178">
        <v>0</v>
      </c>
      <c r="U178">
        <f>IF(openpolis_patrimoni_trasparenti_anno_2014[[#This Row],[totale_730_dichiarante]]&lt;&gt;0,LOG10(openpolis_patrimoni_trasparenti_anno_2014[[#This Row],[totale_730_dichiarante]]), 0)</f>
        <v>5.0503990921837199</v>
      </c>
    </row>
    <row r="179" spans="1:21" x14ac:dyDescent="0.3">
      <c r="A179">
        <v>332759</v>
      </c>
      <c r="B179" s="1" t="s">
        <v>222</v>
      </c>
      <c r="C179" s="1" t="s">
        <v>418</v>
      </c>
      <c r="D179" s="2">
        <v>24113</v>
      </c>
      <c r="E179" s="1" t="s">
        <v>307</v>
      </c>
      <c r="F179" s="1" t="s">
        <v>67</v>
      </c>
      <c r="G179" s="1" t="s">
        <v>53</v>
      </c>
      <c r="H179" s="1" t="s">
        <v>54</v>
      </c>
      <c r="I179" s="1" t="s">
        <v>94</v>
      </c>
      <c r="J179">
        <v>105742</v>
      </c>
      <c r="K179">
        <v>0</v>
      </c>
      <c r="L179">
        <v>0</v>
      </c>
      <c r="M179">
        <v>0</v>
      </c>
      <c r="N179">
        <v>3</v>
      </c>
      <c r="O179" s="1" t="s">
        <v>32</v>
      </c>
      <c r="P179">
        <v>4</v>
      </c>
      <c r="Q179">
        <v>0</v>
      </c>
      <c r="R179">
        <v>1</v>
      </c>
      <c r="S179">
        <v>0</v>
      </c>
      <c r="T179">
        <v>0</v>
      </c>
      <c r="U179">
        <f>IF(openpolis_patrimoni_trasparenti_anno_2014[[#This Row],[totale_730_dichiarante]]&lt;&gt;0,LOG10(openpolis_patrimoni_trasparenti_anno_2014[[#This Row],[totale_730_dichiarante]]), 0)</f>
        <v>5.0242475203754058</v>
      </c>
    </row>
    <row r="180" spans="1:21" x14ac:dyDescent="0.3">
      <c r="A180">
        <v>504479</v>
      </c>
      <c r="B180" s="1" t="s">
        <v>310</v>
      </c>
      <c r="C180" s="1" t="s">
        <v>419</v>
      </c>
      <c r="D180" s="2">
        <v>20016</v>
      </c>
      <c r="E180" s="1" t="s">
        <v>63</v>
      </c>
      <c r="F180" s="1" t="s">
        <v>67</v>
      </c>
      <c r="G180" s="1" t="s">
        <v>24</v>
      </c>
      <c r="H180" s="1" t="s">
        <v>24</v>
      </c>
      <c r="I180" s="1" t="s">
        <v>58</v>
      </c>
      <c r="J180">
        <v>192498</v>
      </c>
      <c r="K180">
        <v>0</v>
      </c>
      <c r="L180">
        <v>0</v>
      </c>
      <c r="M180">
        <v>0</v>
      </c>
      <c r="N180">
        <v>3</v>
      </c>
      <c r="O180" s="1" t="s">
        <v>32</v>
      </c>
      <c r="P180">
        <v>5</v>
      </c>
      <c r="Q180">
        <v>0</v>
      </c>
      <c r="R180">
        <v>2</v>
      </c>
      <c r="S180">
        <v>4</v>
      </c>
      <c r="T180">
        <v>1</v>
      </c>
      <c r="U180">
        <f>IF(openpolis_patrimoni_trasparenti_anno_2014[[#This Row],[totale_730_dichiarante]]&lt;&gt;0,LOG10(openpolis_patrimoni_trasparenti_anno_2014[[#This Row],[totale_730_dichiarante]]), 0)</f>
        <v>5.2844262216706186</v>
      </c>
    </row>
    <row r="181" spans="1:21" x14ac:dyDescent="0.3">
      <c r="A181">
        <v>685833</v>
      </c>
      <c r="B181" s="1" t="s">
        <v>219</v>
      </c>
      <c r="C181" s="1" t="s">
        <v>420</v>
      </c>
      <c r="D181" s="2">
        <v>23197</v>
      </c>
      <c r="E181" s="1" t="s">
        <v>29</v>
      </c>
      <c r="F181" s="1" t="s">
        <v>67</v>
      </c>
      <c r="G181" s="1" t="s">
        <v>102</v>
      </c>
      <c r="H181" s="1" t="s">
        <v>102</v>
      </c>
      <c r="I181" s="1" t="s">
        <v>42</v>
      </c>
      <c r="J181">
        <v>82167</v>
      </c>
      <c r="K181">
        <v>0</v>
      </c>
      <c r="L181">
        <v>0</v>
      </c>
      <c r="M181">
        <v>0</v>
      </c>
      <c r="N181">
        <v>2</v>
      </c>
      <c r="O181" s="1" t="s">
        <v>43</v>
      </c>
      <c r="P181">
        <v>1</v>
      </c>
      <c r="Q181">
        <v>0</v>
      </c>
      <c r="R181">
        <v>1</v>
      </c>
      <c r="S181">
        <v>1</v>
      </c>
      <c r="T181">
        <v>0</v>
      </c>
      <c r="U181">
        <f>IF(openpolis_patrimoni_trasparenti_anno_2014[[#This Row],[totale_730_dichiarante]]&lt;&gt;0,LOG10(openpolis_patrimoni_trasparenti_anno_2014[[#This Row],[totale_730_dichiarante]]), 0)</f>
        <v>4.914697430733753</v>
      </c>
    </row>
    <row r="182" spans="1:21" x14ac:dyDescent="0.3">
      <c r="A182">
        <v>686964</v>
      </c>
      <c r="B182" s="1" t="s">
        <v>421</v>
      </c>
      <c r="C182" s="1" t="s">
        <v>422</v>
      </c>
      <c r="D182" s="2">
        <v>26044</v>
      </c>
      <c r="E182" s="1" t="s">
        <v>29</v>
      </c>
      <c r="F182" s="1" t="s">
        <v>67</v>
      </c>
      <c r="G182" s="1" t="s">
        <v>102</v>
      </c>
      <c r="H182" s="1" t="s">
        <v>102</v>
      </c>
      <c r="I182" s="1" t="s">
        <v>111</v>
      </c>
      <c r="J182">
        <v>82010</v>
      </c>
      <c r="K182">
        <v>0</v>
      </c>
      <c r="L182">
        <v>0</v>
      </c>
      <c r="M182">
        <v>0</v>
      </c>
      <c r="N182">
        <v>3</v>
      </c>
      <c r="O182" s="1" t="s">
        <v>32</v>
      </c>
      <c r="P182">
        <v>1</v>
      </c>
      <c r="Q182">
        <v>0</v>
      </c>
      <c r="R182">
        <v>1</v>
      </c>
      <c r="S182">
        <v>0</v>
      </c>
      <c r="T182">
        <v>0</v>
      </c>
      <c r="U182">
        <f>IF(openpolis_patrimoni_trasparenti_anno_2014[[#This Row],[totale_730_dichiarante]]&lt;&gt;0,LOG10(openpolis_patrimoni_trasparenti_anno_2014[[#This Row],[totale_730_dichiarante]]), 0)</f>
        <v>4.9138668118962396</v>
      </c>
    </row>
    <row r="183" spans="1:21" x14ac:dyDescent="0.3">
      <c r="A183">
        <v>4540</v>
      </c>
      <c r="B183" s="1" t="s">
        <v>162</v>
      </c>
      <c r="C183" s="1" t="s">
        <v>423</v>
      </c>
      <c r="D183" s="2">
        <v>21955</v>
      </c>
      <c r="E183" s="1" t="s">
        <v>22</v>
      </c>
      <c r="F183" s="1" t="s">
        <v>67</v>
      </c>
      <c r="G183" s="1" t="s">
        <v>24</v>
      </c>
      <c r="H183" s="1" t="s">
        <v>24</v>
      </c>
      <c r="I183" s="1" t="s">
        <v>271</v>
      </c>
      <c r="J183">
        <v>107024</v>
      </c>
      <c r="K183">
        <v>0</v>
      </c>
      <c r="L183">
        <v>0</v>
      </c>
      <c r="M183">
        <v>0</v>
      </c>
      <c r="N183">
        <v>3</v>
      </c>
      <c r="O183" s="1" t="s">
        <v>32</v>
      </c>
      <c r="P183">
        <v>2</v>
      </c>
      <c r="Q183">
        <v>0</v>
      </c>
      <c r="R183">
        <v>1</v>
      </c>
      <c r="S183">
        <v>0</v>
      </c>
      <c r="T183">
        <v>0</v>
      </c>
      <c r="U183">
        <f>IF(openpolis_patrimoni_trasparenti_anno_2014[[#This Row],[totale_730_dichiarante]]&lt;&gt;0,LOG10(openpolis_patrimoni_trasparenti_anno_2014[[#This Row],[totale_730_dichiarante]]), 0)</f>
        <v>5.0294811786085578</v>
      </c>
    </row>
    <row r="184" spans="1:21" x14ac:dyDescent="0.3">
      <c r="A184">
        <v>687665</v>
      </c>
      <c r="B184" s="1" t="s">
        <v>424</v>
      </c>
      <c r="C184" s="1" t="s">
        <v>425</v>
      </c>
      <c r="D184" s="2">
        <v>21400</v>
      </c>
      <c r="E184" s="1" t="s">
        <v>156</v>
      </c>
      <c r="F184" s="1" t="s">
        <v>67</v>
      </c>
      <c r="G184" s="1" t="s">
        <v>36</v>
      </c>
      <c r="H184" s="1" t="s">
        <v>37</v>
      </c>
      <c r="I184" s="1" t="s">
        <v>31</v>
      </c>
      <c r="J184">
        <v>199186</v>
      </c>
      <c r="K184">
        <v>0</v>
      </c>
      <c r="L184">
        <v>0</v>
      </c>
      <c r="M184">
        <v>0</v>
      </c>
      <c r="N184">
        <v>3</v>
      </c>
      <c r="O184" s="1" t="s">
        <v>32</v>
      </c>
      <c r="P184">
        <v>1</v>
      </c>
      <c r="Q184">
        <v>0</v>
      </c>
      <c r="R184">
        <v>1</v>
      </c>
      <c r="S184">
        <v>0</v>
      </c>
      <c r="T184">
        <v>0</v>
      </c>
      <c r="U184">
        <f>IF(openpolis_patrimoni_trasparenti_anno_2014[[#This Row],[totale_730_dichiarante]]&lt;&gt;0,LOG10(openpolis_patrimoni_trasparenti_anno_2014[[#This Row],[totale_730_dichiarante]]), 0)</f>
        <v>5.2992588103104934</v>
      </c>
    </row>
    <row r="185" spans="1:21" x14ac:dyDescent="0.3">
      <c r="A185">
        <v>5041</v>
      </c>
      <c r="B185" s="1" t="s">
        <v>217</v>
      </c>
      <c r="C185" s="1" t="s">
        <v>426</v>
      </c>
      <c r="D185" s="2">
        <v>21889</v>
      </c>
      <c r="E185" s="1" t="s">
        <v>35</v>
      </c>
      <c r="F185" s="1" t="s">
        <v>67</v>
      </c>
      <c r="G185" s="1" t="s">
        <v>36</v>
      </c>
      <c r="H185" s="1" t="s">
        <v>93</v>
      </c>
      <c r="I185" s="1" t="s">
        <v>286</v>
      </c>
      <c r="J185">
        <v>101209</v>
      </c>
      <c r="K185">
        <v>0</v>
      </c>
      <c r="L185">
        <v>0</v>
      </c>
      <c r="M185">
        <v>0</v>
      </c>
      <c r="N185">
        <v>3</v>
      </c>
      <c r="O185" s="1" t="s">
        <v>32</v>
      </c>
      <c r="P185">
        <v>2</v>
      </c>
      <c r="Q185">
        <v>1</v>
      </c>
      <c r="R185">
        <v>2</v>
      </c>
      <c r="S185">
        <v>1</v>
      </c>
      <c r="T185">
        <v>0</v>
      </c>
      <c r="U185">
        <f>IF(openpolis_patrimoni_trasparenti_anno_2014[[#This Row],[totale_730_dichiarante]]&lt;&gt;0,LOG10(openpolis_patrimoni_trasparenti_anno_2014[[#This Row],[totale_730_dichiarante]]), 0)</f>
        <v>5.0052191338135019</v>
      </c>
    </row>
    <row r="186" spans="1:21" x14ac:dyDescent="0.3">
      <c r="A186">
        <v>564</v>
      </c>
      <c r="B186" s="1" t="s">
        <v>357</v>
      </c>
      <c r="C186" s="1" t="s">
        <v>427</v>
      </c>
      <c r="D186" s="2">
        <v>18723</v>
      </c>
      <c r="E186" s="1" t="s">
        <v>35</v>
      </c>
      <c r="F186" s="1" t="s">
        <v>67</v>
      </c>
      <c r="G186" s="1" t="s">
        <v>24</v>
      </c>
      <c r="H186" s="1" t="s">
        <v>24</v>
      </c>
      <c r="I186" s="1" t="s">
        <v>111</v>
      </c>
      <c r="J186">
        <v>158873</v>
      </c>
      <c r="K186">
        <v>0</v>
      </c>
      <c r="L186">
        <v>0</v>
      </c>
      <c r="M186">
        <v>0</v>
      </c>
      <c r="N186">
        <v>3</v>
      </c>
      <c r="O186" s="1" t="s">
        <v>32</v>
      </c>
      <c r="P186">
        <v>4</v>
      </c>
      <c r="Q186">
        <v>0</v>
      </c>
      <c r="R186">
        <v>3</v>
      </c>
      <c r="S186">
        <v>2</v>
      </c>
      <c r="T186">
        <v>1</v>
      </c>
      <c r="U186">
        <f>IF(openpolis_patrimoni_trasparenti_anno_2014[[#This Row],[totale_730_dichiarante]]&lt;&gt;0,LOG10(openpolis_patrimoni_trasparenti_anno_2014[[#This Row],[totale_730_dichiarante]]), 0)</f>
        <v>5.2010500964059299</v>
      </c>
    </row>
    <row r="187" spans="1:21" x14ac:dyDescent="0.3">
      <c r="A187">
        <v>1645</v>
      </c>
      <c r="B187" s="1" t="s">
        <v>276</v>
      </c>
      <c r="C187" s="1" t="s">
        <v>428</v>
      </c>
      <c r="D187" s="2">
        <v>19238</v>
      </c>
      <c r="E187" s="1" t="s">
        <v>429</v>
      </c>
      <c r="F187" s="1" t="s">
        <v>67</v>
      </c>
      <c r="G187" s="1" t="s">
        <v>24</v>
      </c>
      <c r="H187" s="1" t="s">
        <v>24</v>
      </c>
      <c r="I187" s="1" t="s">
        <v>430</v>
      </c>
      <c r="J187">
        <v>102070</v>
      </c>
      <c r="K187">
        <v>26309</v>
      </c>
      <c r="L187">
        <v>0</v>
      </c>
      <c r="M187">
        <v>0</v>
      </c>
      <c r="N187">
        <v>2</v>
      </c>
      <c r="O187" s="1" t="s">
        <v>43</v>
      </c>
      <c r="P187">
        <v>2</v>
      </c>
      <c r="Q187">
        <v>11</v>
      </c>
      <c r="R187">
        <v>0</v>
      </c>
      <c r="S187">
        <v>0</v>
      </c>
      <c r="T187">
        <v>0</v>
      </c>
      <c r="U187">
        <f>IF(openpolis_patrimoni_trasparenti_anno_2014[[#This Row],[totale_730_dichiarante]]&lt;&gt;0,LOG10(openpolis_patrimoni_trasparenti_anno_2014[[#This Row],[totale_730_dichiarante]]), 0)</f>
        <v>5.0088981147709397</v>
      </c>
    </row>
    <row r="188" spans="1:21" x14ac:dyDescent="0.3">
      <c r="A188">
        <v>333195</v>
      </c>
      <c r="B188" s="1" t="s">
        <v>431</v>
      </c>
      <c r="C188" s="1" t="s">
        <v>432</v>
      </c>
      <c r="D188" s="2">
        <v>13035</v>
      </c>
      <c r="E188" s="1" t="s">
        <v>63</v>
      </c>
      <c r="F188" s="1" t="s">
        <v>67</v>
      </c>
      <c r="G188" s="1" t="s">
        <v>36</v>
      </c>
      <c r="H188" s="1" t="s">
        <v>37</v>
      </c>
      <c r="I188" s="1" t="s">
        <v>271</v>
      </c>
      <c r="J188">
        <v>1628926</v>
      </c>
      <c r="K188">
        <v>0</v>
      </c>
      <c r="L188">
        <v>0</v>
      </c>
      <c r="M188">
        <v>0</v>
      </c>
      <c r="N188">
        <v>3</v>
      </c>
      <c r="O188" s="1" t="s">
        <v>32</v>
      </c>
      <c r="P188">
        <v>10</v>
      </c>
      <c r="Q188">
        <v>0</v>
      </c>
      <c r="R188">
        <v>3</v>
      </c>
      <c r="S188">
        <v>5</v>
      </c>
      <c r="T188">
        <v>5</v>
      </c>
      <c r="U188">
        <f>IF(openpolis_patrimoni_trasparenti_anno_2014[[#This Row],[totale_730_dichiarante]]&lt;&gt;0,LOG10(openpolis_patrimoni_trasparenti_anno_2014[[#This Row],[totale_730_dichiarante]]), 0)</f>
        <v>6.2119013553203946</v>
      </c>
    </row>
    <row r="189" spans="1:21" x14ac:dyDescent="0.3">
      <c r="A189">
        <v>561</v>
      </c>
      <c r="B189" s="1" t="s">
        <v>433</v>
      </c>
      <c r="C189" s="1" t="s">
        <v>434</v>
      </c>
      <c r="D189" s="2">
        <v>23297</v>
      </c>
      <c r="E189" s="1" t="s">
        <v>35</v>
      </c>
      <c r="F189" s="1" t="s">
        <v>67</v>
      </c>
      <c r="G189" s="1" t="s">
        <v>25</v>
      </c>
      <c r="H189" s="1" t="s">
        <v>279</v>
      </c>
      <c r="I189" s="1" t="s">
        <v>58</v>
      </c>
      <c r="J189">
        <v>194209</v>
      </c>
      <c r="K189">
        <v>0</v>
      </c>
      <c r="L189">
        <v>0</v>
      </c>
      <c r="M189">
        <v>0</v>
      </c>
      <c r="N189">
        <v>3</v>
      </c>
      <c r="O189" s="1" t="s">
        <v>32</v>
      </c>
      <c r="P189">
        <v>4</v>
      </c>
      <c r="Q189">
        <v>0</v>
      </c>
      <c r="R189">
        <v>3</v>
      </c>
      <c r="S189">
        <v>4</v>
      </c>
      <c r="T189">
        <v>3</v>
      </c>
      <c r="U189">
        <f>IF(openpolis_patrimoni_trasparenti_anno_2014[[#This Row],[totale_730_dichiarante]]&lt;&gt;0,LOG10(openpolis_patrimoni_trasparenti_anno_2014[[#This Row],[totale_730_dichiarante]]), 0)</f>
        <v>5.2882693520383546</v>
      </c>
    </row>
    <row r="190" spans="1:21" x14ac:dyDescent="0.3">
      <c r="A190">
        <v>41</v>
      </c>
      <c r="B190" s="1" t="s">
        <v>435</v>
      </c>
      <c r="C190" s="1" t="s">
        <v>436</v>
      </c>
      <c r="D190" s="2">
        <v>22486</v>
      </c>
      <c r="E190" s="1" t="s">
        <v>29</v>
      </c>
      <c r="F190" s="1" t="s">
        <v>67</v>
      </c>
      <c r="G190" s="1" t="s">
        <v>25</v>
      </c>
      <c r="H190" s="1" t="s">
        <v>314</v>
      </c>
      <c r="I190" s="1" t="s">
        <v>271</v>
      </c>
      <c r="J190">
        <v>81548</v>
      </c>
      <c r="K190">
        <v>17831</v>
      </c>
      <c r="L190">
        <v>0</v>
      </c>
      <c r="M190">
        <v>0</v>
      </c>
      <c r="N190">
        <v>1</v>
      </c>
      <c r="O190" s="1" t="s">
        <v>303</v>
      </c>
      <c r="P190">
        <v>7</v>
      </c>
      <c r="Q190">
        <v>0</v>
      </c>
      <c r="R190">
        <v>2</v>
      </c>
      <c r="S190">
        <v>1</v>
      </c>
      <c r="T190">
        <v>0</v>
      </c>
      <c r="U190">
        <f>IF(openpolis_patrimoni_trasparenti_anno_2014[[#This Row],[totale_730_dichiarante]]&lt;&gt;0,LOG10(openpolis_patrimoni_trasparenti_anno_2014[[#This Row],[totale_730_dichiarante]]), 0)</f>
        <v>4.9114133142467429</v>
      </c>
    </row>
    <row r="191" spans="1:21" x14ac:dyDescent="0.3">
      <c r="A191">
        <v>1640</v>
      </c>
      <c r="B191" s="1" t="s">
        <v>387</v>
      </c>
      <c r="C191" s="1" t="s">
        <v>436</v>
      </c>
      <c r="D191" s="2">
        <v>22819</v>
      </c>
      <c r="E191" s="1" t="s">
        <v>41</v>
      </c>
      <c r="F191" s="1" t="s">
        <v>67</v>
      </c>
      <c r="G191" s="1" t="s">
        <v>36</v>
      </c>
      <c r="H191" s="1" t="s">
        <v>314</v>
      </c>
      <c r="I191" s="1" t="s">
        <v>286</v>
      </c>
      <c r="J191">
        <v>103878</v>
      </c>
      <c r="K191">
        <v>0</v>
      </c>
      <c r="L191">
        <v>0</v>
      </c>
      <c r="M191">
        <v>0</v>
      </c>
      <c r="N191">
        <v>3</v>
      </c>
      <c r="O191" s="1" t="s">
        <v>32</v>
      </c>
      <c r="P191">
        <v>6</v>
      </c>
      <c r="Q191">
        <v>1</v>
      </c>
      <c r="R191">
        <v>2</v>
      </c>
      <c r="S191">
        <v>0</v>
      </c>
      <c r="T191">
        <v>0</v>
      </c>
      <c r="U191">
        <f>IF(openpolis_patrimoni_trasparenti_anno_2014[[#This Row],[totale_730_dichiarante]]&lt;&gt;0,LOG10(openpolis_patrimoni_trasparenti_anno_2014[[#This Row],[totale_730_dichiarante]]), 0)</f>
        <v>5.0165235794119685</v>
      </c>
    </row>
    <row r="192" spans="1:21" x14ac:dyDescent="0.3">
      <c r="A192">
        <v>8337</v>
      </c>
      <c r="B192" s="1" t="s">
        <v>437</v>
      </c>
      <c r="C192" s="1" t="s">
        <v>438</v>
      </c>
      <c r="D192" s="2">
        <v>18417</v>
      </c>
      <c r="E192" s="1" t="s">
        <v>49</v>
      </c>
      <c r="F192" s="1" t="s">
        <v>67</v>
      </c>
      <c r="G192" s="1" t="s">
        <v>24</v>
      </c>
      <c r="H192" s="1" t="s">
        <v>24</v>
      </c>
      <c r="I192" s="1" t="s">
        <v>291</v>
      </c>
      <c r="J192">
        <v>106978</v>
      </c>
      <c r="K192">
        <v>0</v>
      </c>
      <c r="L192">
        <v>0</v>
      </c>
      <c r="M192">
        <v>0</v>
      </c>
      <c r="N192">
        <v>3</v>
      </c>
      <c r="O192" s="1" t="s">
        <v>32</v>
      </c>
      <c r="P192">
        <v>7</v>
      </c>
      <c r="Q192">
        <v>5</v>
      </c>
      <c r="R192">
        <v>0</v>
      </c>
      <c r="S192">
        <v>0</v>
      </c>
      <c r="T192">
        <v>0</v>
      </c>
      <c r="U192">
        <f>IF(openpolis_patrimoni_trasparenti_anno_2014[[#This Row],[totale_730_dichiarante]]&lt;&gt;0,LOG10(openpolis_patrimoni_trasparenti_anno_2014[[#This Row],[totale_730_dichiarante]]), 0)</f>
        <v>5.0292944743116337</v>
      </c>
    </row>
    <row r="193" spans="1:21" x14ac:dyDescent="0.3">
      <c r="A193">
        <v>686987</v>
      </c>
      <c r="B193" s="1" t="s">
        <v>152</v>
      </c>
      <c r="C193" s="1" t="s">
        <v>439</v>
      </c>
      <c r="D193" s="2">
        <v>20551</v>
      </c>
      <c r="E193" s="1" t="s">
        <v>49</v>
      </c>
      <c r="F193" s="1" t="s">
        <v>67</v>
      </c>
      <c r="G193" s="1" t="s">
        <v>24</v>
      </c>
      <c r="H193" s="1" t="s">
        <v>24</v>
      </c>
      <c r="I193" s="1" t="s">
        <v>46</v>
      </c>
      <c r="J193">
        <v>98822</v>
      </c>
      <c r="K193">
        <v>0</v>
      </c>
      <c r="L193">
        <v>0</v>
      </c>
      <c r="M193">
        <v>0</v>
      </c>
      <c r="N193">
        <v>3</v>
      </c>
      <c r="O193" s="1" t="s">
        <v>32</v>
      </c>
      <c r="P193">
        <v>1</v>
      </c>
      <c r="Q193">
        <v>0</v>
      </c>
      <c r="R193">
        <v>1</v>
      </c>
      <c r="S193">
        <v>0</v>
      </c>
      <c r="T193">
        <v>0</v>
      </c>
      <c r="U193">
        <f>IF(openpolis_patrimoni_trasparenti_anno_2014[[#This Row],[totale_730_dichiarante]]&lt;&gt;0,LOG10(openpolis_patrimoni_trasparenti_anno_2014[[#This Row],[totale_730_dichiarante]]), 0)</f>
        <v>4.9948536390714544</v>
      </c>
    </row>
    <row r="194" spans="1:21" x14ac:dyDescent="0.3">
      <c r="A194">
        <v>687027</v>
      </c>
      <c r="B194" s="1" t="s">
        <v>440</v>
      </c>
      <c r="C194" s="1" t="s">
        <v>441</v>
      </c>
      <c r="D194" s="2">
        <v>26232</v>
      </c>
      <c r="E194" s="1" t="s">
        <v>49</v>
      </c>
      <c r="F194" s="1" t="s">
        <v>67</v>
      </c>
      <c r="G194" s="1" t="s">
        <v>102</v>
      </c>
      <c r="H194" s="1" t="s">
        <v>54</v>
      </c>
      <c r="I194" s="1" t="s">
        <v>291</v>
      </c>
      <c r="J194">
        <v>93907</v>
      </c>
      <c r="K194">
        <v>0</v>
      </c>
      <c r="L194">
        <v>0</v>
      </c>
      <c r="M194">
        <v>0</v>
      </c>
      <c r="N194">
        <v>2</v>
      </c>
      <c r="O194" s="1" t="s">
        <v>43</v>
      </c>
      <c r="P194">
        <v>0</v>
      </c>
      <c r="Q194">
        <v>7</v>
      </c>
      <c r="R194">
        <v>1</v>
      </c>
      <c r="S194">
        <v>0</v>
      </c>
      <c r="T194">
        <v>0</v>
      </c>
      <c r="U194">
        <f>IF(openpolis_patrimoni_trasparenti_anno_2014[[#This Row],[totale_730_dichiarante]]&lt;&gt;0,LOG10(openpolis_patrimoni_trasparenti_anno_2014[[#This Row],[totale_730_dichiarante]]), 0)</f>
        <v>4.972697966579898</v>
      </c>
    </row>
    <row r="195" spans="1:21" x14ac:dyDescent="0.3">
      <c r="A195">
        <v>4769</v>
      </c>
      <c r="B195" s="1" t="s">
        <v>276</v>
      </c>
      <c r="C195" s="1" t="s">
        <v>442</v>
      </c>
      <c r="D195" s="2">
        <v>18638</v>
      </c>
      <c r="E195" s="1" t="s">
        <v>49</v>
      </c>
      <c r="F195" s="1" t="s">
        <v>67</v>
      </c>
      <c r="G195" s="1" t="s">
        <v>24</v>
      </c>
      <c r="H195" s="1" t="s">
        <v>24</v>
      </c>
      <c r="I195" s="1" t="s">
        <v>46</v>
      </c>
      <c r="J195">
        <v>100146</v>
      </c>
      <c r="K195">
        <v>67338</v>
      </c>
      <c r="L195">
        <v>0</v>
      </c>
      <c r="M195">
        <v>0</v>
      </c>
      <c r="N195">
        <v>3</v>
      </c>
      <c r="O195" s="1" t="s">
        <v>32</v>
      </c>
      <c r="P195">
        <v>1</v>
      </c>
      <c r="Q195">
        <v>0</v>
      </c>
      <c r="R195">
        <v>1</v>
      </c>
      <c r="S195">
        <v>0</v>
      </c>
      <c r="T195">
        <v>0</v>
      </c>
      <c r="U195">
        <f>IF(openpolis_patrimoni_trasparenti_anno_2014[[#This Row],[totale_730_dichiarante]]&lt;&gt;0,LOG10(openpolis_patrimoni_trasparenti_anno_2014[[#This Row],[totale_730_dichiarante]]), 0)</f>
        <v>5.0006336075225546</v>
      </c>
    </row>
    <row r="196" spans="1:21" x14ac:dyDescent="0.3">
      <c r="A196">
        <v>685866</v>
      </c>
      <c r="B196" s="1" t="s">
        <v>233</v>
      </c>
      <c r="C196" s="1" t="s">
        <v>443</v>
      </c>
      <c r="D196" s="2">
        <v>24250</v>
      </c>
      <c r="E196" s="1" t="s">
        <v>29</v>
      </c>
      <c r="F196" s="1" t="s">
        <v>67</v>
      </c>
      <c r="G196" s="1" t="s">
        <v>102</v>
      </c>
      <c r="H196" s="1" t="s">
        <v>102</v>
      </c>
      <c r="I196" s="1" t="s">
        <v>69</v>
      </c>
      <c r="J196">
        <v>90280</v>
      </c>
      <c r="K196">
        <v>0</v>
      </c>
      <c r="L196">
        <v>0</v>
      </c>
      <c r="M196">
        <v>0</v>
      </c>
      <c r="N196">
        <v>2</v>
      </c>
      <c r="O196" s="1" t="s">
        <v>43</v>
      </c>
      <c r="P196">
        <v>2</v>
      </c>
      <c r="Q196">
        <v>0</v>
      </c>
      <c r="R196">
        <v>0</v>
      </c>
      <c r="S196">
        <v>3</v>
      </c>
      <c r="T196">
        <v>1</v>
      </c>
      <c r="U196">
        <f>IF(openpolis_patrimoni_trasparenti_anno_2014[[#This Row],[totale_730_dichiarante]]&lt;&gt;0,LOG10(openpolis_patrimoni_trasparenti_anno_2014[[#This Row],[totale_730_dichiarante]]), 0)</f>
        <v>4.9555915504057246</v>
      </c>
    </row>
    <row r="197" spans="1:21" x14ac:dyDescent="0.3">
      <c r="A197">
        <v>539</v>
      </c>
      <c r="B197" s="1" t="s">
        <v>444</v>
      </c>
      <c r="C197" s="1" t="s">
        <v>445</v>
      </c>
      <c r="D197" s="2">
        <v>23365</v>
      </c>
      <c r="E197" s="1" t="s">
        <v>136</v>
      </c>
      <c r="F197" s="1" t="s">
        <v>67</v>
      </c>
      <c r="G197" s="1" t="s">
        <v>24</v>
      </c>
      <c r="H197" s="1" t="s">
        <v>24</v>
      </c>
      <c r="I197" s="1" t="s">
        <v>69</v>
      </c>
      <c r="J197">
        <v>138914</v>
      </c>
      <c r="K197">
        <v>0</v>
      </c>
      <c r="L197">
        <v>0</v>
      </c>
      <c r="M197">
        <v>0</v>
      </c>
      <c r="N197">
        <v>3</v>
      </c>
      <c r="O197" s="1" t="s">
        <v>83</v>
      </c>
      <c r="P197">
        <v>5</v>
      </c>
      <c r="Q197">
        <v>1</v>
      </c>
      <c r="R197">
        <v>2</v>
      </c>
      <c r="S197">
        <v>0</v>
      </c>
      <c r="T197">
        <v>0</v>
      </c>
      <c r="U197">
        <f>IF(openpolis_patrimoni_trasparenti_anno_2014[[#This Row],[totale_730_dichiarante]]&lt;&gt;0,LOG10(openpolis_patrimoni_trasparenti_anno_2014[[#This Row],[totale_730_dichiarante]]), 0)</f>
        <v>5.1427460169136667</v>
      </c>
    </row>
    <row r="198" spans="1:21" x14ac:dyDescent="0.3">
      <c r="A198">
        <v>686875</v>
      </c>
      <c r="B198" s="1" t="s">
        <v>145</v>
      </c>
      <c r="C198" s="1" t="s">
        <v>446</v>
      </c>
      <c r="D198" s="2">
        <v>25474</v>
      </c>
      <c r="E198" s="1" t="s">
        <v>307</v>
      </c>
      <c r="F198" s="1" t="s">
        <v>67</v>
      </c>
      <c r="G198" s="1" t="s">
        <v>102</v>
      </c>
      <c r="H198" s="1" t="s">
        <v>102</v>
      </c>
      <c r="I198" s="1" t="s">
        <v>271</v>
      </c>
      <c r="J198">
        <v>77547</v>
      </c>
      <c r="K198">
        <v>0</v>
      </c>
      <c r="L198">
        <v>0</v>
      </c>
      <c r="M198">
        <v>0</v>
      </c>
      <c r="N198">
        <v>2</v>
      </c>
      <c r="O198" s="1" t="s">
        <v>43</v>
      </c>
      <c r="P198">
        <v>1</v>
      </c>
      <c r="Q198">
        <v>0</v>
      </c>
      <c r="R198">
        <v>1</v>
      </c>
      <c r="S198">
        <v>0</v>
      </c>
      <c r="T198">
        <v>0</v>
      </c>
      <c r="U198">
        <f>IF(openpolis_patrimoni_trasparenti_anno_2014[[#This Row],[totale_730_dichiarante]]&lt;&gt;0,LOG10(openpolis_patrimoni_trasparenti_anno_2014[[#This Row],[totale_730_dichiarante]]), 0)</f>
        <v>4.8895650012644243</v>
      </c>
    </row>
    <row r="199" spans="1:21" x14ac:dyDescent="0.3">
      <c r="A199">
        <v>82522</v>
      </c>
      <c r="B199" s="1" t="s">
        <v>346</v>
      </c>
      <c r="C199" s="1" t="s">
        <v>447</v>
      </c>
      <c r="D199" s="2">
        <v>23196</v>
      </c>
      <c r="E199" s="1" t="s">
        <v>75</v>
      </c>
      <c r="F199" s="1" t="s">
        <v>67</v>
      </c>
      <c r="G199" s="1" t="s">
        <v>36</v>
      </c>
      <c r="H199" s="1" t="s">
        <v>37</v>
      </c>
      <c r="I199" s="1" t="s">
        <v>94</v>
      </c>
      <c r="J199">
        <v>88645</v>
      </c>
      <c r="K199">
        <v>0</v>
      </c>
      <c r="L199">
        <v>0</v>
      </c>
      <c r="M199">
        <v>0</v>
      </c>
      <c r="N199">
        <v>3</v>
      </c>
      <c r="O199" s="1" t="s">
        <v>32</v>
      </c>
      <c r="P199">
        <v>1</v>
      </c>
      <c r="Q199">
        <v>0</v>
      </c>
      <c r="R199">
        <v>2</v>
      </c>
      <c r="S199">
        <v>0</v>
      </c>
      <c r="T199">
        <v>0</v>
      </c>
      <c r="U199">
        <f>IF(openpolis_patrimoni_trasparenti_anno_2014[[#This Row],[totale_730_dichiarante]]&lt;&gt;0,LOG10(openpolis_patrimoni_trasparenti_anno_2014[[#This Row],[totale_730_dichiarante]]), 0)</f>
        <v>4.947654244351499</v>
      </c>
    </row>
    <row r="200" spans="1:21" x14ac:dyDescent="0.3">
      <c r="A200">
        <v>538</v>
      </c>
      <c r="B200" s="1" t="s">
        <v>448</v>
      </c>
      <c r="C200" s="1" t="s">
        <v>449</v>
      </c>
      <c r="D200" s="2">
        <v>21509</v>
      </c>
      <c r="E200" s="1" t="s">
        <v>75</v>
      </c>
      <c r="F200" s="1" t="s">
        <v>67</v>
      </c>
      <c r="G200" s="1" t="s">
        <v>36</v>
      </c>
      <c r="H200" s="1" t="s">
        <v>168</v>
      </c>
      <c r="I200" s="1" t="s">
        <v>345</v>
      </c>
      <c r="J200">
        <v>138375</v>
      </c>
      <c r="K200">
        <v>0</v>
      </c>
      <c r="L200">
        <v>0</v>
      </c>
      <c r="M200">
        <v>0</v>
      </c>
      <c r="N200">
        <v>3</v>
      </c>
      <c r="O200" s="1" t="s">
        <v>32</v>
      </c>
      <c r="P200">
        <v>6</v>
      </c>
      <c r="Q200">
        <v>1</v>
      </c>
      <c r="R200">
        <v>3</v>
      </c>
      <c r="S200">
        <v>1</v>
      </c>
      <c r="T200">
        <v>0</v>
      </c>
      <c r="U200">
        <f>IF(openpolis_patrimoni_trasparenti_anno_2014[[#This Row],[totale_730_dichiarante]]&lt;&gt;0,LOG10(openpolis_patrimoni_trasparenti_anno_2014[[#This Row],[totale_730_dichiarante]]), 0)</f>
        <v>5.1410576338867795</v>
      </c>
    </row>
    <row r="201" spans="1:21" x14ac:dyDescent="0.3">
      <c r="A201">
        <v>536</v>
      </c>
      <c r="B201" s="1" t="s">
        <v>317</v>
      </c>
      <c r="C201" s="1" t="s">
        <v>450</v>
      </c>
      <c r="D201" s="2">
        <v>23490</v>
      </c>
      <c r="E201" s="1" t="s">
        <v>29</v>
      </c>
      <c r="F201" s="1" t="s">
        <v>67</v>
      </c>
      <c r="G201" s="1" t="s">
        <v>24</v>
      </c>
      <c r="H201" s="1" t="s">
        <v>54</v>
      </c>
      <c r="I201" s="1" t="s">
        <v>393</v>
      </c>
      <c r="J201">
        <v>258827</v>
      </c>
      <c r="K201">
        <v>0</v>
      </c>
      <c r="L201">
        <v>0</v>
      </c>
      <c r="M201">
        <v>0</v>
      </c>
      <c r="N201">
        <v>3</v>
      </c>
      <c r="O201" s="1" t="s">
        <v>32</v>
      </c>
      <c r="P201">
        <v>4</v>
      </c>
      <c r="Q201">
        <v>0</v>
      </c>
      <c r="R201">
        <v>2</v>
      </c>
      <c r="S201">
        <v>1</v>
      </c>
      <c r="T201">
        <v>0</v>
      </c>
      <c r="U201">
        <f>IF(openpolis_patrimoni_trasparenti_anno_2014[[#This Row],[totale_730_dichiarante]]&lt;&gt;0,LOG10(openpolis_patrimoni_trasparenti_anno_2014[[#This Row],[totale_730_dichiarante]]), 0)</f>
        <v>5.4130095785630594</v>
      </c>
    </row>
    <row r="202" spans="1:21" x14ac:dyDescent="0.3">
      <c r="A202">
        <v>531</v>
      </c>
      <c r="B202" s="1" t="s">
        <v>451</v>
      </c>
      <c r="C202" s="1" t="s">
        <v>452</v>
      </c>
      <c r="D202" s="2">
        <v>22021</v>
      </c>
      <c r="E202" s="1" t="s">
        <v>22</v>
      </c>
      <c r="F202" s="1" t="s">
        <v>67</v>
      </c>
      <c r="G202" s="1" t="s">
        <v>25</v>
      </c>
      <c r="H202" s="1" t="s">
        <v>68</v>
      </c>
      <c r="I202" s="1" t="s">
        <v>191</v>
      </c>
      <c r="J202">
        <v>100454</v>
      </c>
      <c r="K202">
        <v>0</v>
      </c>
      <c r="L202">
        <v>0</v>
      </c>
      <c r="M202">
        <v>0</v>
      </c>
      <c r="N202">
        <v>3</v>
      </c>
      <c r="O202" s="1" t="s">
        <v>32</v>
      </c>
      <c r="P202">
        <v>1</v>
      </c>
      <c r="Q202">
        <v>0</v>
      </c>
      <c r="R202">
        <v>1</v>
      </c>
      <c r="S202">
        <v>1</v>
      </c>
      <c r="T202">
        <v>0</v>
      </c>
      <c r="U202">
        <f>IF(openpolis_patrimoni_trasparenti_anno_2014[[#This Row],[totale_730_dichiarante]]&lt;&gt;0,LOG10(openpolis_patrimoni_trasparenti_anno_2014[[#This Row],[totale_730_dichiarante]]), 0)</f>
        <v>5.0019672346964192</v>
      </c>
    </row>
    <row r="203" spans="1:21" x14ac:dyDescent="0.3">
      <c r="A203">
        <v>685945</v>
      </c>
      <c r="B203" s="1" t="s">
        <v>453</v>
      </c>
      <c r="C203" s="1" t="s">
        <v>454</v>
      </c>
      <c r="D203" s="2">
        <v>24685</v>
      </c>
      <c r="E203" s="1" t="s">
        <v>49</v>
      </c>
      <c r="F203" s="1" t="s">
        <v>67</v>
      </c>
      <c r="G203" s="1" t="s">
        <v>102</v>
      </c>
      <c r="H203" s="1" t="s">
        <v>102</v>
      </c>
      <c r="I203" s="1" t="s">
        <v>271</v>
      </c>
      <c r="J203">
        <v>90664</v>
      </c>
      <c r="K203">
        <v>0</v>
      </c>
      <c r="L203">
        <v>0</v>
      </c>
      <c r="M203">
        <v>0</v>
      </c>
      <c r="N203">
        <v>2</v>
      </c>
      <c r="O203" s="1" t="s">
        <v>43</v>
      </c>
      <c r="P203">
        <v>4</v>
      </c>
      <c r="Q203">
        <v>0</v>
      </c>
      <c r="R203">
        <v>1</v>
      </c>
      <c r="S203">
        <v>0</v>
      </c>
      <c r="T203">
        <v>0</v>
      </c>
      <c r="U203">
        <f>IF(openpolis_patrimoni_trasparenti_anno_2014[[#This Row],[totale_730_dichiarante]]&lt;&gt;0,LOG10(openpolis_patrimoni_trasparenti_anno_2014[[#This Row],[totale_730_dichiarante]]), 0)</f>
        <v>4.9574348757595743</v>
      </c>
    </row>
    <row r="204" spans="1:21" x14ac:dyDescent="0.3">
      <c r="A204">
        <v>220838</v>
      </c>
      <c r="B204" s="1" t="s">
        <v>265</v>
      </c>
      <c r="C204" s="1" t="s">
        <v>455</v>
      </c>
      <c r="D204" s="2">
        <v>22869</v>
      </c>
      <c r="E204" s="1" t="s">
        <v>101</v>
      </c>
      <c r="F204" s="1" t="s">
        <v>67</v>
      </c>
      <c r="G204" s="1" t="s">
        <v>36</v>
      </c>
      <c r="H204" s="1" t="s">
        <v>37</v>
      </c>
      <c r="I204" s="1" t="s">
        <v>271</v>
      </c>
      <c r="J204">
        <v>251621</v>
      </c>
      <c r="K204">
        <v>0</v>
      </c>
      <c r="L204">
        <v>0</v>
      </c>
      <c r="M204">
        <v>0</v>
      </c>
      <c r="N204">
        <v>3</v>
      </c>
      <c r="O204" s="1" t="s">
        <v>32</v>
      </c>
      <c r="P204">
        <v>7</v>
      </c>
      <c r="Q204">
        <v>0</v>
      </c>
      <c r="R204">
        <v>0</v>
      </c>
      <c r="S204">
        <v>1</v>
      </c>
      <c r="T204">
        <v>0</v>
      </c>
      <c r="U204">
        <f>IF(openpolis_patrimoni_trasparenti_anno_2014[[#This Row],[totale_730_dichiarante]]&lt;&gt;0,LOG10(openpolis_patrimoni_trasparenti_anno_2014[[#This Row],[totale_730_dichiarante]]), 0)</f>
        <v>5.4007468840050645</v>
      </c>
    </row>
    <row r="205" spans="1:21" x14ac:dyDescent="0.3">
      <c r="A205">
        <v>74020</v>
      </c>
      <c r="B205" s="1" t="s">
        <v>145</v>
      </c>
      <c r="C205" s="1" t="s">
        <v>456</v>
      </c>
      <c r="D205" s="2">
        <v>20293</v>
      </c>
      <c r="E205" s="1" t="s">
        <v>75</v>
      </c>
      <c r="F205" s="1" t="s">
        <v>67</v>
      </c>
      <c r="G205" s="1" t="s">
        <v>36</v>
      </c>
      <c r="H205" s="1" t="s">
        <v>168</v>
      </c>
      <c r="I205" s="1" t="s">
        <v>345</v>
      </c>
      <c r="J205">
        <v>139441</v>
      </c>
      <c r="K205">
        <v>0</v>
      </c>
      <c r="L205">
        <v>0</v>
      </c>
      <c r="M205">
        <v>0</v>
      </c>
      <c r="N205">
        <v>3</v>
      </c>
      <c r="O205" s="1" t="s">
        <v>32</v>
      </c>
      <c r="P205">
        <v>8</v>
      </c>
      <c r="Q205">
        <v>0</v>
      </c>
      <c r="R205">
        <v>0</v>
      </c>
      <c r="S205">
        <v>0</v>
      </c>
      <c r="T205">
        <v>0</v>
      </c>
      <c r="U205">
        <f>IF(openpolis_patrimoni_trasparenti_anno_2014[[#This Row],[totale_730_dichiarante]]&lt;&gt;0,LOG10(openpolis_patrimoni_trasparenti_anno_2014[[#This Row],[totale_730_dichiarante]]), 0)</f>
        <v>5.1443904886524576</v>
      </c>
    </row>
    <row r="206" spans="1:21" x14ac:dyDescent="0.3">
      <c r="A206">
        <v>238486</v>
      </c>
      <c r="B206" s="1" t="s">
        <v>457</v>
      </c>
      <c r="C206" s="1" t="s">
        <v>458</v>
      </c>
      <c r="D206" s="2">
        <v>22190</v>
      </c>
      <c r="E206" s="1" t="s">
        <v>35</v>
      </c>
      <c r="F206" s="1" t="s">
        <v>67</v>
      </c>
      <c r="G206" s="1" t="s">
        <v>24</v>
      </c>
      <c r="H206" s="1" t="s">
        <v>24</v>
      </c>
      <c r="I206" s="1" t="s">
        <v>69</v>
      </c>
      <c r="J206">
        <v>90904</v>
      </c>
      <c r="K206">
        <v>0</v>
      </c>
      <c r="L206">
        <v>0</v>
      </c>
      <c r="M206">
        <v>0</v>
      </c>
      <c r="N206">
        <v>2</v>
      </c>
      <c r="O206" s="1" t="s">
        <v>43</v>
      </c>
      <c r="P206">
        <v>7</v>
      </c>
      <c r="Q206">
        <v>0</v>
      </c>
      <c r="R206">
        <v>1</v>
      </c>
      <c r="S206">
        <v>3</v>
      </c>
      <c r="T206">
        <v>0</v>
      </c>
      <c r="U206">
        <f>IF(openpolis_patrimoni_trasparenti_anno_2014[[#This Row],[totale_730_dichiarante]]&lt;&gt;0,LOG10(openpolis_patrimoni_trasparenti_anno_2014[[#This Row],[totale_730_dichiarante]]), 0)</f>
        <v>4.9585829936697889</v>
      </c>
    </row>
    <row r="207" spans="1:21" x14ac:dyDescent="0.3">
      <c r="A207">
        <v>687000</v>
      </c>
      <c r="B207" s="1" t="s">
        <v>305</v>
      </c>
      <c r="C207" s="1" t="s">
        <v>459</v>
      </c>
      <c r="D207" s="2">
        <v>25374</v>
      </c>
      <c r="E207" s="1" t="s">
        <v>146</v>
      </c>
      <c r="F207" s="1" t="s">
        <v>67</v>
      </c>
      <c r="G207" s="1" t="s">
        <v>102</v>
      </c>
      <c r="H207" s="1" t="s">
        <v>102</v>
      </c>
      <c r="I207" s="1" t="s">
        <v>173</v>
      </c>
      <c r="J207">
        <v>55863</v>
      </c>
      <c r="K207">
        <v>0</v>
      </c>
      <c r="L207">
        <v>0</v>
      </c>
      <c r="M207">
        <v>0</v>
      </c>
      <c r="N207">
        <v>2</v>
      </c>
      <c r="O207" s="1" t="s">
        <v>43</v>
      </c>
      <c r="P207">
        <v>6</v>
      </c>
      <c r="Q207">
        <v>1</v>
      </c>
      <c r="R207">
        <v>0</v>
      </c>
      <c r="S207">
        <v>0</v>
      </c>
      <c r="T207">
        <v>0</v>
      </c>
      <c r="U207">
        <f>IF(openpolis_patrimoni_trasparenti_anno_2014[[#This Row],[totale_730_dichiarante]]&lt;&gt;0,LOG10(openpolis_patrimoni_trasparenti_anno_2014[[#This Row],[totale_730_dichiarante]]), 0)</f>
        <v>4.7471242548247217</v>
      </c>
    </row>
    <row r="208" spans="1:21" x14ac:dyDescent="0.3">
      <c r="A208">
        <v>274873</v>
      </c>
      <c r="B208" s="1" t="s">
        <v>233</v>
      </c>
      <c r="C208" s="1" t="s">
        <v>460</v>
      </c>
      <c r="D208" s="2">
        <v>19480</v>
      </c>
      <c r="E208" s="1" t="s">
        <v>49</v>
      </c>
      <c r="F208" s="1" t="s">
        <v>67</v>
      </c>
      <c r="G208" s="1" t="s">
        <v>24</v>
      </c>
      <c r="H208" s="1" t="s">
        <v>24</v>
      </c>
      <c r="I208" s="1" t="s">
        <v>291</v>
      </c>
      <c r="J208">
        <v>102098</v>
      </c>
      <c r="K208">
        <v>0</v>
      </c>
      <c r="L208">
        <v>0</v>
      </c>
      <c r="M208">
        <v>0</v>
      </c>
      <c r="N208">
        <v>3</v>
      </c>
      <c r="O208" s="1" t="s">
        <v>32</v>
      </c>
      <c r="P208">
        <v>1</v>
      </c>
      <c r="Q208">
        <v>1</v>
      </c>
      <c r="R208">
        <v>1</v>
      </c>
      <c r="S208">
        <v>0</v>
      </c>
      <c r="T208">
        <v>0</v>
      </c>
      <c r="U208">
        <f>IF(openpolis_patrimoni_trasparenti_anno_2014[[#This Row],[totale_730_dichiarante]]&lt;&gt;0,LOG10(openpolis_patrimoni_trasparenti_anno_2014[[#This Row],[totale_730_dichiarante]]), 0)</f>
        <v>5.0090172347659392</v>
      </c>
    </row>
    <row r="209" spans="1:21" x14ac:dyDescent="0.3">
      <c r="A209">
        <v>687166</v>
      </c>
      <c r="B209" s="1" t="s">
        <v>461</v>
      </c>
      <c r="C209" s="1" t="s">
        <v>462</v>
      </c>
      <c r="D209" s="2">
        <v>19197</v>
      </c>
      <c r="E209" s="1" t="s">
        <v>140</v>
      </c>
      <c r="F209" s="1" t="s">
        <v>67</v>
      </c>
      <c r="G209" s="1" t="s">
        <v>24</v>
      </c>
      <c r="H209" s="1" t="s">
        <v>279</v>
      </c>
      <c r="I209" s="1" t="s">
        <v>280</v>
      </c>
      <c r="J209">
        <v>296305.90000000002</v>
      </c>
      <c r="K209">
        <v>0</v>
      </c>
      <c r="L209">
        <v>0</v>
      </c>
      <c r="M209">
        <v>0</v>
      </c>
      <c r="N209">
        <v>2</v>
      </c>
      <c r="O209" s="1" t="s">
        <v>43</v>
      </c>
      <c r="P209">
        <v>1</v>
      </c>
      <c r="Q209">
        <v>0</v>
      </c>
      <c r="R209">
        <v>0</v>
      </c>
      <c r="S209">
        <v>0</v>
      </c>
      <c r="T209">
        <v>0</v>
      </c>
      <c r="U209">
        <f>IF(openpolis_patrimoni_trasparenti_anno_2014[[#This Row],[totale_730_dichiarante]]&lt;&gt;0,LOG10(openpolis_patrimoni_trasparenti_anno_2014[[#This Row],[totale_730_dichiarante]]), 0)</f>
        <v>5.4717402991747273</v>
      </c>
    </row>
    <row r="210" spans="1:21" x14ac:dyDescent="0.3">
      <c r="A210">
        <v>274922</v>
      </c>
      <c r="B210" s="1" t="s">
        <v>463</v>
      </c>
      <c r="C210" s="1" t="s">
        <v>464</v>
      </c>
      <c r="D210" s="2">
        <v>20313</v>
      </c>
      <c r="E210" s="1" t="s">
        <v>465</v>
      </c>
      <c r="F210" s="1" t="s">
        <v>67</v>
      </c>
      <c r="G210" s="1" t="s">
        <v>24</v>
      </c>
      <c r="H210" s="1" t="s">
        <v>24</v>
      </c>
      <c r="I210" s="1" t="s">
        <v>42</v>
      </c>
      <c r="J210">
        <v>101550</v>
      </c>
      <c r="K210">
        <v>0</v>
      </c>
      <c r="L210">
        <v>0</v>
      </c>
      <c r="M210">
        <v>0</v>
      </c>
      <c r="N210">
        <v>3</v>
      </c>
      <c r="O210" s="1" t="s">
        <v>32</v>
      </c>
      <c r="P210">
        <v>0</v>
      </c>
      <c r="Q210">
        <v>0</v>
      </c>
      <c r="R210">
        <v>2</v>
      </c>
      <c r="S210">
        <v>0</v>
      </c>
      <c r="T210">
        <v>0</v>
      </c>
      <c r="U210">
        <f>IF(openpolis_patrimoni_trasparenti_anno_2014[[#This Row],[totale_730_dichiarante]]&lt;&gt;0,LOG10(openpolis_patrimoni_trasparenti_anno_2014[[#This Row],[totale_730_dichiarante]]), 0)</f>
        <v>5.0066799277408256</v>
      </c>
    </row>
    <row r="211" spans="1:21" x14ac:dyDescent="0.3">
      <c r="A211">
        <v>27631</v>
      </c>
      <c r="B211" s="1" t="s">
        <v>196</v>
      </c>
      <c r="C211" s="1" t="s">
        <v>466</v>
      </c>
      <c r="D211" s="2">
        <v>22369</v>
      </c>
      <c r="E211" s="1" t="s">
        <v>29</v>
      </c>
      <c r="F211" s="1" t="s">
        <v>67</v>
      </c>
      <c r="G211" s="1" t="s">
        <v>24</v>
      </c>
      <c r="H211" s="1" t="s">
        <v>24</v>
      </c>
      <c r="I211" s="1" t="s">
        <v>111</v>
      </c>
      <c r="J211">
        <v>94384</v>
      </c>
      <c r="K211">
        <v>0</v>
      </c>
      <c r="L211">
        <v>0</v>
      </c>
      <c r="M211">
        <v>0</v>
      </c>
      <c r="N211">
        <v>2</v>
      </c>
      <c r="O211" s="1" t="s">
        <v>43</v>
      </c>
      <c r="P211">
        <v>1</v>
      </c>
      <c r="Q211">
        <v>1</v>
      </c>
      <c r="R211">
        <v>0</v>
      </c>
      <c r="S211">
        <v>0</v>
      </c>
      <c r="T211">
        <v>0</v>
      </c>
      <c r="U211">
        <f>IF(openpolis_patrimoni_trasparenti_anno_2014[[#This Row],[totale_730_dichiarante]]&lt;&gt;0,LOG10(openpolis_patrimoni_trasparenti_anno_2014[[#This Row],[totale_730_dichiarante]]), 0)</f>
        <v>4.9748983788250722</v>
      </c>
    </row>
    <row r="212" spans="1:21" x14ac:dyDescent="0.3">
      <c r="A212">
        <v>22198</v>
      </c>
      <c r="B212" s="1" t="s">
        <v>467</v>
      </c>
      <c r="C212" s="1" t="s">
        <v>468</v>
      </c>
      <c r="D212" s="2">
        <v>19799</v>
      </c>
      <c r="E212" s="1" t="s">
        <v>35</v>
      </c>
      <c r="F212" s="1" t="s">
        <v>67</v>
      </c>
      <c r="G212" s="1" t="s">
        <v>36</v>
      </c>
      <c r="H212" s="1" t="s">
        <v>93</v>
      </c>
      <c r="I212" s="1" t="s">
        <v>115</v>
      </c>
      <c r="J212">
        <v>86003</v>
      </c>
      <c r="K212">
        <v>0</v>
      </c>
      <c r="L212">
        <v>0</v>
      </c>
      <c r="M212">
        <v>0</v>
      </c>
      <c r="N212">
        <v>3</v>
      </c>
      <c r="O212" s="1" t="s">
        <v>32</v>
      </c>
      <c r="P212">
        <v>5</v>
      </c>
      <c r="Q212">
        <v>1</v>
      </c>
      <c r="R212">
        <v>1</v>
      </c>
      <c r="S212">
        <v>4</v>
      </c>
      <c r="T212">
        <v>3</v>
      </c>
      <c r="U212">
        <f>IF(openpolis_patrimoni_trasparenti_anno_2014[[#This Row],[totale_730_dichiarante]]&lt;&gt;0,LOG10(openpolis_patrimoni_trasparenti_anno_2014[[#This Row],[totale_730_dichiarante]]), 0)</f>
        <v>4.9345136007868415</v>
      </c>
    </row>
    <row r="213" spans="1:21" x14ac:dyDescent="0.3">
      <c r="A213">
        <v>4414</v>
      </c>
      <c r="B213" s="1" t="s">
        <v>305</v>
      </c>
      <c r="C213" s="1" t="s">
        <v>469</v>
      </c>
      <c r="D213" s="2">
        <v>22317</v>
      </c>
      <c r="E213" s="1" t="s">
        <v>49</v>
      </c>
      <c r="F213" s="1" t="s">
        <v>67</v>
      </c>
      <c r="G213" s="1" t="s">
        <v>24</v>
      </c>
      <c r="H213" s="1" t="s">
        <v>24</v>
      </c>
      <c r="I213" s="1" t="s">
        <v>69</v>
      </c>
      <c r="J213">
        <v>99513</v>
      </c>
      <c r="K213">
        <v>45330</v>
      </c>
      <c r="L213">
        <v>0</v>
      </c>
      <c r="M213">
        <v>0</v>
      </c>
      <c r="N213">
        <v>1</v>
      </c>
      <c r="O213" s="1" t="s">
        <v>383</v>
      </c>
      <c r="P213">
        <v>4</v>
      </c>
      <c r="Q213">
        <v>0</v>
      </c>
      <c r="R213">
        <v>1</v>
      </c>
      <c r="S213">
        <v>0</v>
      </c>
      <c r="T213">
        <v>0</v>
      </c>
      <c r="U213">
        <f>IF(openpolis_patrimoni_trasparenti_anno_2014[[#This Row],[totale_730_dichiarante]]&lt;&gt;0,LOG10(openpolis_patrimoni_trasparenti_anno_2014[[#This Row],[totale_730_dichiarante]]), 0)</f>
        <v>4.9978798190318958</v>
      </c>
    </row>
    <row r="214" spans="1:21" x14ac:dyDescent="0.3">
      <c r="A214">
        <v>1648</v>
      </c>
      <c r="B214" s="1" t="s">
        <v>470</v>
      </c>
      <c r="C214" s="1" t="s">
        <v>471</v>
      </c>
      <c r="D214" s="2">
        <v>22325</v>
      </c>
      <c r="E214" s="1" t="s">
        <v>29</v>
      </c>
      <c r="F214" s="1" t="s">
        <v>30</v>
      </c>
      <c r="G214" s="1" t="s">
        <v>24</v>
      </c>
      <c r="H214" s="1" t="s">
        <v>24</v>
      </c>
      <c r="I214" s="1" t="s">
        <v>115</v>
      </c>
      <c r="J214">
        <v>103084</v>
      </c>
      <c r="K214">
        <v>0</v>
      </c>
      <c r="L214">
        <v>0</v>
      </c>
      <c r="M214">
        <v>0</v>
      </c>
      <c r="N214">
        <v>3</v>
      </c>
      <c r="O214" s="1" t="s">
        <v>32</v>
      </c>
      <c r="P214">
        <v>1</v>
      </c>
      <c r="Q214">
        <v>0</v>
      </c>
      <c r="R214">
        <v>1</v>
      </c>
      <c r="S214">
        <v>0</v>
      </c>
      <c r="T214">
        <v>0</v>
      </c>
      <c r="U214">
        <f>IF(openpolis_patrimoni_trasparenti_anno_2014[[#This Row],[totale_730_dichiarante]]&lt;&gt;0,LOG10(openpolis_patrimoni_trasparenti_anno_2014[[#This Row],[totale_730_dichiarante]]), 0)</f>
        <v>5.0131912622675268</v>
      </c>
    </row>
    <row r="215" spans="1:21" x14ac:dyDescent="0.3">
      <c r="A215">
        <v>1603</v>
      </c>
      <c r="B215" s="1" t="s">
        <v>219</v>
      </c>
      <c r="C215" s="1" t="s">
        <v>472</v>
      </c>
      <c r="D215" s="2">
        <v>20346</v>
      </c>
      <c r="E215" s="1" t="s">
        <v>41</v>
      </c>
      <c r="F215" s="1" t="s">
        <v>67</v>
      </c>
      <c r="G215" s="1" t="s">
        <v>24</v>
      </c>
      <c r="H215" s="1" t="s">
        <v>24</v>
      </c>
      <c r="I215" s="1" t="s">
        <v>115</v>
      </c>
      <c r="J215">
        <v>188025</v>
      </c>
      <c r="K215">
        <v>0</v>
      </c>
      <c r="L215">
        <v>0</v>
      </c>
      <c r="M215">
        <v>0</v>
      </c>
      <c r="N215">
        <v>3</v>
      </c>
      <c r="O215" s="1" t="s">
        <v>32</v>
      </c>
      <c r="P215">
        <v>9</v>
      </c>
      <c r="Q215">
        <v>0</v>
      </c>
      <c r="R215">
        <v>1</v>
      </c>
      <c r="S215">
        <v>0</v>
      </c>
      <c r="T215">
        <v>0</v>
      </c>
      <c r="U215">
        <f>IF(openpolis_patrimoni_trasparenti_anno_2014[[#This Row],[totale_730_dichiarante]]&lt;&gt;0,LOG10(openpolis_patrimoni_trasparenti_anno_2014[[#This Row],[totale_730_dichiarante]]), 0)</f>
        <v>5.274215597349917</v>
      </c>
    </row>
    <row r="216" spans="1:21" x14ac:dyDescent="0.3">
      <c r="A216">
        <v>491</v>
      </c>
      <c r="B216" s="1" t="s">
        <v>473</v>
      </c>
      <c r="C216" s="1" t="s">
        <v>474</v>
      </c>
      <c r="D216" s="2">
        <v>17783</v>
      </c>
      <c r="E216" s="1" t="s">
        <v>136</v>
      </c>
      <c r="F216" s="1" t="s">
        <v>67</v>
      </c>
      <c r="G216" s="1" t="s">
        <v>25</v>
      </c>
      <c r="H216" s="1" t="s">
        <v>68</v>
      </c>
      <c r="I216" s="1" t="s">
        <v>173</v>
      </c>
      <c r="J216">
        <v>331269</v>
      </c>
      <c r="K216">
        <v>0</v>
      </c>
      <c r="L216">
        <v>0</v>
      </c>
      <c r="M216">
        <v>0</v>
      </c>
      <c r="N216">
        <v>2</v>
      </c>
      <c r="O216" s="1" t="s">
        <v>43</v>
      </c>
      <c r="P216">
        <v>5</v>
      </c>
      <c r="Q216">
        <v>0</v>
      </c>
      <c r="R216">
        <v>2</v>
      </c>
      <c r="S216">
        <v>1</v>
      </c>
      <c r="T216">
        <v>0</v>
      </c>
      <c r="U216">
        <f>IF(openpolis_patrimoni_trasparenti_anno_2014[[#This Row],[totale_730_dichiarante]]&lt;&gt;0,LOG10(openpolis_patrimoni_trasparenti_anno_2014[[#This Row],[totale_730_dichiarante]]), 0)</f>
        <v>5.5201807967064207</v>
      </c>
    </row>
    <row r="217" spans="1:21" x14ac:dyDescent="0.3">
      <c r="A217">
        <v>368630</v>
      </c>
      <c r="B217" s="1" t="s">
        <v>475</v>
      </c>
      <c r="C217" s="1" t="s">
        <v>476</v>
      </c>
      <c r="D217" s="2">
        <v>24155</v>
      </c>
      <c r="E217" s="1" t="s">
        <v>75</v>
      </c>
      <c r="F217" s="1" t="s">
        <v>67</v>
      </c>
      <c r="G217" s="1" t="s">
        <v>279</v>
      </c>
      <c r="H217" s="1" t="s">
        <v>279</v>
      </c>
      <c r="I217" s="1" t="s">
        <v>477</v>
      </c>
      <c r="J217">
        <v>138932</v>
      </c>
      <c r="K217">
        <v>0</v>
      </c>
      <c r="L217">
        <v>0</v>
      </c>
      <c r="M217">
        <v>0</v>
      </c>
      <c r="N217">
        <v>3</v>
      </c>
      <c r="O217" s="1" t="s">
        <v>32</v>
      </c>
      <c r="P217">
        <v>13</v>
      </c>
      <c r="Q217">
        <v>47</v>
      </c>
      <c r="R217">
        <v>1</v>
      </c>
      <c r="S217">
        <v>0</v>
      </c>
      <c r="T217">
        <v>0</v>
      </c>
      <c r="U217">
        <f>IF(openpolis_patrimoni_trasparenti_anno_2014[[#This Row],[totale_730_dichiarante]]&lt;&gt;0,LOG10(openpolis_patrimoni_trasparenti_anno_2014[[#This Row],[totale_730_dichiarante]]), 0)</f>
        <v>5.1428022876585056</v>
      </c>
    </row>
    <row r="218" spans="1:21" x14ac:dyDescent="0.3">
      <c r="A218">
        <v>7621</v>
      </c>
      <c r="B218" s="1" t="s">
        <v>467</v>
      </c>
      <c r="C218" s="1" t="s">
        <v>478</v>
      </c>
      <c r="D218" s="2">
        <v>22225</v>
      </c>
      <c r="E218" s="1" t="s">
        <v>49</v>
      </c>
      <c r="F218" s="1" t="s">
        <v>67</v>
      </c>
      <c r="G218" s="1" t="s">
        <v>36</v>
      </c>
      <c r="H218" s="1" t="s">
        <v>298</v>
      </c>
      <c r="I218" s="1" t="s">
        <v>286</v>
      </c>
      <c r="J218">
        <v>115517</v>
      </c>
      <c r="K218">
        <v>0</v>
      </c>
      <c r="L218">
        <v>0</v>
      </c>
      <c r="M218">
        <v>0</v>
      </c>
      <c r="N218">
        <v>3</v>
      </c>
      <c r="O218" s="1" t="s">
        <v>32</v>
      </c>
      <c r="P218">
        <v>21</v>
      </c>
      <c r="Q218">
        <v>18</v>
      </c>
      <c r="R218">
        <v>0</v>
      </c>
      <c r="S218">
        <v>0</v>
      </c>
      <c r="T218">
        <v>0</v>
      </c>
      <c r="U218">
        <f>IF(openpolis_patrimoni_trasparenti_anno_2014[[#This Row],[totale_730_dichiarante]]&lt;&gt;0,LOG10(openpolis_patrimoni_trasparenti_anno_2014[[#This Row],[totale_730_dichiarante]]), 0)</f>
        <v>5.0626459016559338</v>
      </c>
    </row>
    <row r="219" spans="1:21" x14ac:dyDescent="0.3">
      <c r="A219">
        <v>275041</v>
      </c>
      <c r="B219" s="1" t="s">
        <v>479</v>
      </c>
      <c r="C219" s="1" t="s">
        <v>480</v>
      </c>
      <c r="D219" s="2">
        <v>24308</v>
      </c>
      <c r="E219" s="1" t="s">
        <v>75</v>
      </c>
      <c r="F219" s="1" t="s">
        <v>67</v>
      </c>
      <c r="G219" s="1" t="s">
        <v>24</v>
      </c>
      <c r="H219" s="1" t="s">
        <v>24</v>
      </c>
      <c r="I219" s="1" t="s">
        <v>89</v>
      </c>
      <c r="J219">
        <v>102355</v>
      </c>
      <c r="K219">
        <v>16001</v>
      </c>
      <c r="L219">
        <v>0</v>
      </c>
      <c r="M219">
        <v>0</v>
      </c>
      <c r="N219">
        <v>3</v>
      </c>
      <c r="O219" s="1" t="s">
        <v>32</v>
      </c>
      <c r="P219">
        <v>3</v>
      </c>
      <c r="Q219">
        <v>0</v>
      </c>
      <c r="R219">
        <v>1</v>
      </c>
      <c r="S219">
        <v>1</v>
      </c>
      <c r="T219">
        <v>0</v>
      </c>
      <c r="U219">
        <f>IF(openpolis_patrimoni_trasparenti_anno_2014[[#This Row],[totale_730_dichiarante]]&lt;&gt;0,LOG10(openpolis_patrimoni_trasparenti_anno_2014[[#This Row],[totale_730_dichiarante]]), 0)</f>
        <v>5.0101090626250109</v>
      </c>
    </row>
    <row r="220" spans="1:21" x14ac:dyDescent="0.3">
      <c r="A220">
        <v>6542</v>
      </c>
      <c r="B220" s="1" t="s">
        <v>467</v>
      </c>
      <c r="C220" s="1" t="s">
        <v>481</v>
      </c>
      <c r="D220" s="2">
        <v>22367</v>
      </c>
      <c r="E220" s="1" t="s">
        <v>49</v>
      </c>
      <c r="F220" s="1" t="s">
        <v>67</v>
      </c>
      <c r="G220" s="1" t="s">
        <v>36</v>
      </c>
      <c r="H220" s="1" t="s">
        <v>298</v>
      </c>
      <c r="I220" s="1" t="s">
        <v>115</v>
      </c>
      <c r="J220">
        <v>81056</v>
      </c>
      <c r="K220">
        <v>0</v>
      </c>
      <c r="L220">
        <v>0</v>
      </c>
      <c r="M220">
        <v>0</v>
      </c>
      <c r="N220">
        <v>3</v>
      </c>
      <c r="O220" s="1" t="s">
        <v>32</v>
      </c>
      <c r="P220">
        <v>0</v>
      </c>
      <c r="Q220">
        <v>0</v>
      </c>
      <c r="R220">
        <v>2</v>
      </c>
      <c r="S220">
        <v>1</v>
      </c>
      <c r="T220">
        <v>0</v>
      </c>
      <c r="U220">
        <f>IF(openpolis_patrimoni_trasparenti_anno_2014[[#This Row],[totale_730_dichiarante]]&lt;&gt;0,LOG10(openpolis_patrimoni_trasparenti_anno_2014[[#This Row],[totale_730_dichiarante]]), 0)</f>
        <v>4.9087851681104535</v>
      </c>
    </row>
    <row r="221" spans="1:21" x14ac:dyDescent="0.3">
      <c r="A221">
        <v>120828</v>
      </c>
      <c r="B221" s="1" t="s">
        <v>482</v>
      </c>
      <c r="C221" s="1" t="s">
        <v>483</v>
      </c>
      <c r="D221" s="2">
        <v>23643</v>
      </c>
      <c r="E221" s="1" t="s">
        <v>22</v>
      </c>
      <c r="F221" s="1" t="s">
        <v>67</v>
      </c>
      <c r="G221" s="1" t="s">
        <v>24</v>
      </c>
      <c r="H221" s="1" t="s">
        <v>24</v>
      </c>
      <c r="I221" s="1" t="s">
        <v>111</v>
      </c>
      <c r="J221">
        <v>122620</v>
      </c>
      <c r="K221">
        <v>0</v>
      </c>
      <c r="L221">
        <v>0</v>
      </c>
      <c r="M221">
        <v>0</v>
      </c>
      <c r="N221">
        <v>3</v>
      </c>
      <c r="O221" s="1" t="s">
        <v>32</v>
      </c>
      <c r="P221">
        <v>4</v>
      </c>
      <c r="Q221">
        <v>1</v>
      </c>
      <c r="R221">
        <v>0</v>
      </c>
      <c r="S221">
        <v>3</v>
      </c>
      <c r="T221">
        <v>1</v>
      </c>
      <c r="U221">
        <f>IF(openpolis_patrimoni_trasparenti_anno_2014[[#This Row],[totale_730_dichiarante]]&lt;&gt;0,LOG10(openpolis_patrimoni_trasparenti_anno_2014[[#This Row],[totale_730_dichiarante]]), 0)</f>
        <v>5.0885613117912154</v>
      </c>
    </row>
    <row r="222" spans="1:21" x14ac:dyDescent="0.3">
      <c r="A222">
        <v>333150</v>
      </c>
      <c r="B222" s="1" t="s">
        <v>467</v>
      </c>
      <c r="C222" s="1" t="s">
        <v>484</v>
      </c>
      <c r="D222" s="2">
        <v>17979</v>
      </c>
      <c r="E222" s="1" t="s">
        <v>29</v>
      </c>
      <c r="F222" s="1" t="s">
        <v>67</v>
      </c>
      <c r="G222" s="1" t="s">
        <v>25</v>
      </c>
      <c r="H222" s="1" t="s">
        <v>68</v>
      </c>
      <c r="I222" s="1" t="s">
        <v>271</v>
      </c>
      <c r="J222">
        <v>231310</v>
      </c>
      <c r="K222">
        <v>0</v>
      </c>
      <c r="L222">
        <v>0</v>
      </c>
      <c r="M222">
        <v>0</v>
      </c>
      <c r="N222">
        <v>3</v>
      </c>
      <c r="O222" s="1" t="s">
        <v>32</v>
      </c>
      <c r="P222">
        <v>4</v>
      </c>
      <c r="Q222">
        <v>1</v>
      </c>
      <c r="R222">
        <v>1</v>
      </c>
      <c r="S222">
        <v>0</v>
      </c>
      <c r="T222">
        <v>0</v>
      </c>
      <c r="U222">
        <f>IF(openpolis_patrimoni_trasparenti_anno_2014[[#This Row],[totale_730_dichiarante]]&lt;&gt;0,LOG10(openpolis_patrimoni_trasparenti_anno_2014[[#This Row],[totale_730_dichiarante]]), 0)</f>
        <v>5.364194408606938</v>
      </c>
    </row>
    <row r="223" spans="1:21" x14ac:dyDescent="0.3">
      <c r="A223">
        <v>686939</v>
      </c>
      <c r="B223" s="1" t="s">
        <v>44</v>
      </c>
      <c r="C223" s="1" t="s">
        <v>485</v>
      </c>
      <c r="D223" s="2">
        <v>17230</v>
      </c>
      <c r="E223" s="1" t="s">
        <v>29</v>
      </c>
      <c r="F223" s="1" t="s">
        <v>67</v>
      </c>
      <c r="G223" s="1" t="s">
        <v>24</v>
      </c>
      <c r="H223" s="1" t="s">
        <v>24</v>
      </c>
      <c r="I223" s="1" t="s">
        <v>31</v>
      </c>
      <c r="J223">
        <v>126900</v>
      </c>
      <c r="K223">
        <v>0</v>
      </c>
      <c r="L223">
        <v>0</v>
      </c>
      <c r="M223">
        <v>0</v>
      </c>
      <c r="N223">
        <v>3</v>
      </c>
      <c r="O223" s="1" t="s">
        <v>32</v>
      </c>
      <c r="P223">
        <v>6</v>
      </c>
      <c r="Q223">
        <v>0</v>
      </c>
      <c r="R223">
        <v>1</v>
      </c>
      <c r="S223">
        <v>8</v>
      </c>
      <c r="T223">
        <v>0</v>
      </c>
      <c r="U223">
        <f>IF(openpolis_patrimoni_trasparenti_anno_2014[[#This Row],[totale_730_dichiarante]]&lt;&gt;0,LOG10(openpolis_patrimoni_trasparenti_anno_2014[[#This Row],[totale_730_dichiarante]]), 0)</f>
        <v>5.1034616220947049</v>
      </c>
    </row>
    <row r="224" spans="1:21" x14ac:dyDescent="0.3">
      <c r="A224">
        <v>686997</v>
      </c>
      <c r="B224" s="1" t="s">
        <v>486</v>
      </c>
      <c r="C224" s="1" t="s">
        <v>487</v>
      </c>
      <c r="D224" s="2">
        <v>26041</v>
      </c>
      <c r="E224" s="1" t="s">
        <v>29</v>
      </c>
      <c r="F224" s="1" t="s">
        <v>67</v>
      </c>
      <c r="G224" s="1" t="s">
        <v>24</v>
      </c>
      <c r="H224" s="1" t="s">
        <v>24</v>
      </c>
      <c r="I224" s="1" t="s">
        <v>173</v>
      </c>
      <c r="J224">
        <v>96246</v>
      </c>
      <c r="K224">
        <v>0</v>
      </c>
      <c r="L224">
        <v>0</v>
      </c>
      <c r="M224">
        <v>0</v>
      </c>
      <c r="N224">
        <v>3</v>
      </c>
      <c r="O224" s="1" t="s">
        <v>32</v>
      </c>
      <c r="P224">
        <v>0</v>
      </c>
      <c r="Q224">
        <v>0</v>
      </c>
      <c r="R224">
        <v>2</v>
      </c>
      <c r="S224">
        <v>0</v>
      </c>
      <c r="T224">
        <v>0</v>
      </c>
      <c r="U224">
        <f>IF(openpolis_patrimoni_trasparenti_anno_2014[[#This Row],[totale_730_dichiarante]]&lt;&gt;0,LOG10(openpolis_patrimoni_trasparenti_anno_2014[[#This Row],[totale_730_dichiarante]]), 0)</f>
        <v>4.9833826892036468</v>
      </c>
    </row>
    <row r="225" spans="1:21" x14ac:dyDescent="0.3">
      <c r="A225">
        <v>463</v>
      </c>
      <c r="B225" s="1" t="s">
        <v>488</v>
      </c>
      <c r="C225" s="1" t="s">
        <v>489</v>
      </c>
      <c r="D225" s="2">
        <v>23142</v>
      </c>
      <c r="E225" s="1" t="s">
        <v>22</v>
      </c>
      <c r="F225" s="1" t="s">
        <v>67</v>
      </c>
      <c r="G225" s="1" t="s">
        <v>36</v>
      </c>
      <c r="H225" s="1" t="s">
        <v>37</v>
      </c>
      <c r="I225" s="1" t="s">
        <v>291</v>
      </c>
      <c r="J225">
        <v>91288</v>
      </c>
      <c r="K225">
        <v>0</v>
      </c>
      <c r="L225">
        <v>0</v>
      </c>
      <c r="M225">
        <v>0</v>
      </c>
      <c r="N225">
        <v>3</v>
      </c>
      <c r="O225" s="1" t="s">
        <v>32</v>
      </c>
      <c r="P225">
        <v>0</v>
      </c>
      <c r="Q225">
        <v>0</v>
      </c>
      <c r="R225">
        <v>1</v>
      </c>
      <c r="S225">
        <v>0</v>
      </c>
      <c r="T225">
        <v>0</v>
      </c>
      <c r="U225">
        <f>IF(openpolis_patrimoni_trasparenti_anno_2014[[#This Row],[totale_730_dichiarante]]&lt;&gt;0,LOG10(openpolis_patrimoni_trasparenti_anno_2014[[#This Row],[totale_730_dichiarante]]), 0)</f>
        <v>4.9604136923612279</v>
      </c>
    </row>
    <row r="226" spans="1:21" x14ac:dyDescent="0.3">
      <c r="A226">
        <v>461</v>
      </c>
      <c r="B226" s="1" t="s">
        <v>490</v>
      </c>
      <c r="C226" s="1" t="s">
        <v>491</v>
      </c>
      <c r="D226" s="2">
        <v>18278</v>
      </c>
      <c r="E226" s="1" t="s">
        <v>41</v>
      </c>
      <c r="F226" s="1" t="s">
        <v>67</v>
      </c>
      <c r="G226" s="1" t="s">
        <v>36</v>
      </c>
      <c r="H226" s="1" t="s">
        <v>314</v>
      </c>
      <c r="I226" s="1" t="s">
        <v>111</v>
      </c>
      <c r="J226">
        <v>141477</v>
      </c>
      <c r="K226">
        <v>30267</v>
      </c>
      <c r="L226">
        <v>0</v>
      </c>
      <c r="M226">
        <v>0</v>
      </c>
      <c r="N226">
        <v>3</v>
      </c>
      <c r="O226" s="1" t="s">
        <v>32</v>
      </c>
      <c r="P226">
        <v>1</v>
      </c>
      <c r="Q226">
        <v>1</v>
      </c>
      <c r="R226">
        <v>1</v>
      </c>
      <c r="S226">
        <v>0</v>
      </c>
      <c r="T226">
        <v>0</v>
      </c>
      <c r="U226">
        <f>IF(openpolis_patrimoni_trasparenti_anno_2014[[#This Row],[totale_730_dichiarante]]&lt;&gt;0,LOG10(openpolis_patrimoni_trasparenti_anno_2014[[#This Row],[totale_730_dichiarante]]), 0)</f>
        <v>5.150685842086598</v>
      </c>
    </row>
    <row r="227" spans="1:21" x14ac:dyDescent="0.3">
      <c r="A227">
        <v>88199</v>
      </c>
      <c r="B227" s="1" t="s">
        <v>492</v>
      </c>
      <c r="C227" s="1" t="s">
        <v>493</v>
      </c>
      <c r="D227" s="2">
        <v>25259</v>
      </c>
      <c r="E227" s="1" t="s">
        <v>136</v>
      </c>
      <c r="F227" s="1" t="s">
        <v>67</v>
      </c>
      <c r="G227" s="1" t="s">
        <v>24</v>
      </c>
      <c r="H227" s="1" t="s">
        <v>24</v>
      </c>
      <c r="I227" s="1" t="s">
        <v>173</v>
      </c>
      <c r="J227">
        <v>82189</v>
      </c>
      <c r="K227">
        <v>0</v>
      </c>
      <c r="L227">
        <v>0</v>
      </c>
      <c r="M227">
        <v>0</v>
      </c>
      <c r="N227">
        <v>2</v>
      </c>
      <c r="O227" s="1" t="s">
        <v>43</v>
      </c>
      <c r="P227">
        <v>1</v>
      </c>
      <c r="Q227">
        <v>0</v>
      </c>
      <c r="R227">
        <v>1</v>
      </c>
      <c r="S227">
        <v>0</v>
      </c>
      <c r="T227">
        <v>0</v>
      </c>
      <c r="U227">
        <f>IF(openpolis_patrimoni_trasparenti_anno_2014[[#This Row],[totale_730_dichiarante]]&lt;&gt;0,LOG10(openpolis_patrimoni_trasparenti_anno_2014[[#This Row],[totale_730_dichiarante]]), 0)</f>
        <v>4.9148136963846438</v>
      </c>
    </row>
    <row r="228" spans="1:21" x14ac:dyDescent="0.3">
      <c r="A228">
        <v>332727</v>
      </c>
      <c r="B228" s="1" t="s">
        <v>355</v>
      </c>
      <c r="C228" s="1" t="s">
        <v>494</v>
      </c>
      <c r="D228" s="2">
        <v>23746</v>
      </c>
      <c r="E228" s="1" t="s">
        <v>41</v>
      </c>
      <c r="F228" s="1" t="s">
        <v>67</v>
      </c>
      <c r="G228" s="1" t="s">
        <v>36</v>
      </c>
      <c r="H228" s="1" t="s">
        <v>37</v>
      </c>
      <c r="I228" s="1" t="s">
        <v>345</v>
      </c>
      <c r="J228">
        <v>207442</v>
      </c>
      <c r="K228">
        <v>0</v>
      </c>
      <c r="L228">
        <v>0</v>
      </c>
      <c r="M228">
        <v>0</v>
      </c>
      <c r="N228">
        <v>3</v>
      </c>
      <c r="O228" s="1" t="s">
        <v>32</v>
      </c>
      <c r="P228">
        <v>30</v>
      </c>
      <c r="Q228">
        <v>0</v>
      </c>
      <c r="R228">
        <v>2</v>
      </c>
      <c r="S228">
        <v>5</v>
      </c>
      <c r="T228">
        <v>2</v>
      </c>
      <c r="U228">
        <f>IF(openpolis_patrimoni_trasparenti_anno_2014[[#This Row],[totale_730_dichiarante]]&lt;&gt;0,LOG10(openpolis_patrimoni_trasparenti_anno_2014[[#This Row],[totale_730_dichiarante]]), 0)</f>
        <v>5.3168966909227713</v>
      </c>
    </row>
    <row r="229" spans="1:21" x14ac:dyDescent="0.3">
      <c r="A229">
        <v>687171</v>
      </c>
      <c r="B229" s="1" t="s">
        <v>242</v>
      </c>
      <c r="C229" s="1" t="s">
        <v>495</v>
      </c>
      <c r="D229" s="2">
        <v>21376</v>
      </c>
      <c r="E229" s="1" t="s">
        <v>29</v>
      </c>
      <c r="F229" s="1" t="s">
        <v>67</v>
      </c>
      <c r="G229" s="1" t="s">
        <v>24</v>
      </c>
      <c r="H229" s="1" t="s">
        <v>24</v>
      </c>
      <c r="I229" s="1" t="s">
        <v>496</v>
      </c>
      <c r="J229">
        <v>80747</v>
      </c>
      <c r="K229">
        <v>0</v>
      </c>
      <c r="L229">
        <v>0</v>
      </c>
      <c r="M229">
        <v>0</v>
      </c>
      <c r="N229">
        <v>3</v>
      </c>
      <c r="O229" s="1" t="s">
        <v>32</v>
      </c>
      <c r="P229">
        <v>2</v>
      </c>
      <c r="Q229">
        <v>0</v>
      </c>
      <c r="R229">
        <v>0</v>
      </c>
      <c r="S229">
        <v>0</v>
      </c>
      <c r="T229">
        <v>0</v>
      </c>
      <c r="U229">
        <f>IF(openpolis_patrimoni_trasparenti_anno_2014[[#This Row],[totale_730_dichiarante]]&lt;&gt;0,LOG10(openpolis_patrimoni_trasparenti_anno_2014[[#This Row],[totale_730_dichiarante]]), 0)</f>
        <v>4.9071263959239024</v>
      </c>
    </row>
    <row r="230" spans="1:21" x14ac:dyDescent="0.3">
      <c r="A230">
        <v>1586</v>
      </c>
      <c r="B230" s="1" t="s">
        <v>217</v>
      </c>
      <c r="C230" s="1" t="s">
        <v>497</v>
      </c>
      <c r="D230" s="2">
        <v>18361</v>
      </c>
      <c r="E230" s="1" t="s">
        <v>49</v>
      </c>
      <c r="F230" s="1" t="s">
        <v>67</v>
      </c>
      <c r="G230" s="1" t="s">
        <v>36</v>
      </c>
      <c r="H230" s="1" t="s">
        <v>168</v>
      </c>
      <c r="I230" s="1" t="s">
        <v>42</v>
      </c>
      <c r="J230">
        <v>115767</v>
      </c>
      <c r="K230">
        <v>0</v>
      </c>
      <c r="L230">
        <v>0</v>
      </c>
      <c r="M230">
        <v>0</v>
      </c>
      <c r="N230">
        <v>3</v>
      </c>
      <c r="O230" s="1" t="s">
        <v>32</v>
      </c>
      <c r="P230">
        <v>1</v>
      </c>
      <c r="Q230">
        <v>0</v>
      </c>
      <c r="R230">
        <v>2</v>
      </c>
      <c r="S230">
        <v>0</v>
      </c>
      <c r="T230">
        <v>0</v>
      </c>
      <c r="U230">
        <f>IF(openpolis_patrimoni_trasparenti_anno_2014[[#This Row],[totale_730_dichiarante]]&lt;&gt;0,LOG10(openpolis_patrimoni_trasparenti_anno_2014[[#This Row],[totale_730_dichiarante]]), 0)</f>
        <v>5.0635847790772983</v>
      </c>
    </row>
    <row r="231" spans="1:21" x14ac:dyDescent="0.3">
      <c r="A231">
        <v>446</v>
      </c>
      <c r="B231" s="1" t="s">
        <v>357</v>
      </c>
      <c r="C231" s="1" t="s">
        <v>498</v>
      </c>
      <c r="D231" s="2">
        <v>20654</v>
      </c>
      <c r="E231" s="1" t="s">
        <v>156</v>
      </c>
      <c r="F231" s="1" t="s">
        <v>67</v>
      </c>
      <c r="G231" s="1" t="s">
        <v>36</v>
      </c>
      <c r="H231" s="1" t="s">
        <v>37</v>
      </c>
      <c r="I231" s="1" t="s">
        <v>291</v>
      </c>
      <c r="J231">
        <v>121476</v>
      </c>
      <c r="K231">
        <v>0</v>
      </c>
      <c r="L231">
        <v>0</v>
      </c>
      <c r="M231">
        <v>0</v>
      </c>
      <c r="N231">
        <v>3</v>
      </c>
      <c r="O231" s="1" t="s">
        <v>32</v>
      </c>
      <c r="P231">
        <v>5</v>
      </c>
      <c r="Q231">
        <v>1</v>
      </c>
      <c r="R231">
        <v>0</v>
      </c>
      <c r="S231">
        <v>0</v>
      </c>
      <c r="T231">
        <v>0</v>
      </c>
      <c r="U231">
        <f>IF(openpolis_patrimoni_trasparenti_anno_2014[[#This Row],[totale_730_dichiarante]]&lt;&gt;0,LOG10(openpolis_patrimoni_trasparenti_anno_2014[[#This Row],[totale_730_dichiarante]]), 0)</f>
        <v>5.0844904828961415</v>
      </c>
    </row>
    <row r="232" spans="1:21" x14ac:dyDescent="0.3">
      <c r="A232">
        <v>686953</v>
      </c>
      <c r="B232" s="1" t="s">
        <v>499</v>
      </c>
      <c r="C232" s="1" t="s">
        <v>500</v>
      </c>
      <c r="D232" s="2">
        <v>23582</v>
      </c>
      <c r="E232" s="1" t="s">
        <v>63</v>
      </c>
      <c r="F232" s="1" t="s">
        <v>67</v>
      </c>
      <c r="G232" s="1" t="s">
        <v>102</v>
      </c>
      <c r="H232" s="1" t="s">
        <v>54</v>
      </c>
      <c r="I232" s="1" t="s">
        <v>111</v>
      </c>
      <c r="J232">
        <v>110280</v>
      </c>
      <c r="K232">
        <v>0</v>
      </c>
      <c r="L232">
        <v>0</v>
      </c>
      <c r="M232">
        <v>0</v>
      </c>
      <c r="N232">
        <v>3</v>
      </c>
      <c r="O232" s="1" t="s">
        <v>32</v>
      </c>
      <c r="P232">
        <v>2</v>
      </c>
      <c r="Q232">
        <v>0</v>
      </c>
      <c r="R232">
        <v>0</v>
      </c>
      <c r="S232">
        <v>3</v>
      </c>
      <c r="T232">
        <v>1</v>
      </c>
      <c r="U232">
        <f>IF(openpolis_patrimoni_trasparenti_anno_2014[[#This Row],[totale_730_dichiarante]]&lt;&gt;0,LOG10(openpolis_patrimoni_trasparenti_anno_2014[[#This Row],[totale_730_dichiarante]]), 0)</f>
        <v>5.042496757433736</v>
      </c>
    </row>
    <row r="233" spans="1:21" x14ac:dyDescent="0.3">
      <c r="A233">
        <v>686863</v>
      </c>
      <c r="B233" s="1" t="s">
        <v>44</v>
      </c>
      <c r="C233" s="1" t="s">
        <v>501</v>
      </c>
      <c r="D233" s="2">
        <v>25026</v>
      </c>
      <c r="E233" s="1" t="s">
        <v>35</v>
      </c>
      <c r="F233" s="1" t="s">
        <v>67</v>
      </c>
      <c r="G233" s="1" t="s">
        <v>36</v>
      </c>
      <c r="H233" s="1" t="s">
        <v>37</v>
      </c>
      <c r="I233" s="1" t="s">
        <v>271</v>
      </c>
      <c r="J233">
        <v>263065</v>
      </c>
      <c r="K233">
        <v>0</v>
      </c>
      <c r="L233">
        <v>0</v>
      </c>
      <c r="M233">
        <v>0</v>
      </c>
      <c r="N233">
        <v>3</v>
      </c>
      <c r="O233" s="1" t="s">
        <v>32</v>
      </c>
      <c r="P233">
        <v>17</v>
      </c>
      <c r="Q233">
        <v>0</v>
      </c>
      <c r="R233">
        <v>2</v>
      </c>
      <c r="S233">
        <v>5</v>
      </c>
      <c r="T233">
        <v>7</v>
      </c>
      <c r="U233">
        <f>IF(openpolis_patrimoni_trasparenti_anno_2014[[#This Row],[totale_730_dichiarante]]&lt;&gt;0,LOG10(openpolis_patrimoni_trasparenti_anno_2014[[#This Row],[totale_730_dichiarante]]), 0)</f>
        <v>5.4200630703662078</v>
      </c>
    </row>
    <row r="234" spans="1:21" x14ac:dyDescent="0.3">
      <c r="A234">
        <v>685944</v>
      </c>
      <c r="B234" s="1" t="s">
        <v>192</v>
      </c>
      <c r="C234" s="1" t="s">
        <v>502</v>
      </c>
      <c r="D234" s="2">
        <v>21773</v>
      </c>
      <c r="E234" s="1" t="s">
        <v>75</v>
      </c>
      <c r="F234" s="1" t="s">
        <v>67</v>
      </c>
      <c r="G234" s="1" t="s">
        <v>102</v>
      </c>
      <c r="H234" s="1" t="s">
        <v>102</v>
      </c>
      <c r="I234" s="1" t="s">
        <v>271</v>
      </c>
      <c r="J234">
        <v>113421</v>
      </c>
      <c r="K234">
        <v>1111</v>
      </c>
      <c r="L234">
        <v>0</v>
      </c>
      <c r="M234">
        <v>0</v>
      </c>
      <c r="N234">
        <v>1</v>
      </c>
      <c r="O234" s="1" t="s">
        <v>383</v>
      </c>
      <c r="P234">
        <v>3</v>
      </c>
      <c r="Q234">
        <v>0</v>
      </c>
      <c r="R234">
        <v>2</v>
      </c>
      <c r="S234">
        <v>0</v>
      </c>
      <c r="T234">
        <v>0</v>
      </c>
      <c r="U234">
        <f>IF(openpolis_patrimoni_trasparenti_anno_2014[[#This Row],[totale_730_dichiarante]]&lt;&gt;0,LOG10(openpolis_patrimoni_trasparenti_anno_2014[[#This Row],[totale_730_dichiarante]]), 0)</f>
        <v>5.0546934720151127</v>
      </c>
    </row>
    <row r="235" spans="1:21" x14ac:dyDescent="0.3">
      <c r="A235">
        <v>332724</v>
      </c>
      <c r="B235" s="1" t="s">
        <v>503</v>
      </c>
      <c r="C235" s="1" t="s">
        <v>504</v>
      </c>
      <c r="D235" s="2">
        <v>20717</v>
      </c>
      <c r="E235" s="1" t="s">
        <v>86</v>
      </c>
      <c r="F235" s="1" t="s">
        <v>67</v>
      </c>
      <c r="G235" s="1" t="s">
        <v>24</v>
      </c>
      <c r="H235" s="1" t="s">
        <v>24</v>
      </c>
      <c r="I235" s="1" t="s">
        <v>46</v>
      </c>
      <c r="J235">
        <v>101297</v>
      </c>
      <c r="K235">
        <v>0</v>
      </c>
      <c r="L235">
        <v>0</v>
      </c>
      <c r="M235">
        <v>0</v>
      </c>
      <c r="N235">
        <v>1</v>
      </c>
      <c r="O235" s="1" t="s">
        <v>505</v>
      </c>
      <c r="P235">
        <v>3</v>
      </c>
      <c r="Q235">
        <v>6</v>
      </c>
      <c r="R235">
        <v>1</v>
      </c>
      <c r="S235">
        <v>0</v>
      </c>
      <c r="T235">
        <v>0</v>
      </c>
      <c r="U235">
        <f>IF(openpolis_patrimoni_trasparenti_anno_2014[[#This Row],[totale_730_dichiarante]]&lt;&gt;0,LOG10(openpolis_patrimoni_trasparenti_anno_2014[[#This Row],[totale_730_dichiarante]]), 0)</f>
        <v>5.0055965835366028</v>
      </c>
    </row>
    <row r="236" spans="1:21" x14ac:dyDescent="0.3">
      <c r="A236">
        <v>1587</v>
      </c>
      <c r="B236" s="1" t="s">
        <v>506</v>
      </c>
      <c r="C236" s="1" t="s">
        <v>507</v>
      </c>
      <c r="D236" s="2">
        <v>21906</v>
      </c>
      <c r="E236" s="1" t="s">
        <v>41</v>
      </c>
      <c r="F236" s="1" t="s">
        <v>67</v>
      </c>
      <c r="G236" s="1" t="s">
        <v>36</v>
      </c>
      <c r="H236" s="1" t="s">
        <v>37</v>
      </c>
      <c r="I236" s="1" t="s">
        <v>94</v>
      </c>
      <c r="J236">
        <v>2300158</v>
      </c>
      <c r="K236">
        <v>0</v>
      </c>
      <c r="L236">
        <v>0</v>
      </c>
      <c r="M236">
        <v>0</v>
      </c>
      <c r="N236">
        <v>3</v>
      </c>
      <c r="O236" s="1" t="s">
        <v>32</v>
      </c>
      <c r="P236">
        <v>22</v>
      </c>
      <c r="Q236">
        <v>5</v>
      </c>
      <c r="R236">
        <v>1</v>
      </c>
      <c r="S236">
        <v>3</v>
      </c>
      <c r="T236">
        <v>0</v>
      </c>
      <c r="U236">
        <f>IF(openpolis_patrimoni_trasparenti_anno_2014[[#This Row],[totale_730_dichiarante]]&lt;&gt;0,LOG10(openpolis_patrimoni_trasparenti_anno_2014[[#This Row],[totale_730_dichiarante]]), 0)</f>
        <v>6.3617576691355717</v>
      </c>
    </row>
    <row r="237" spans="1:21" x14ac:dyDescent="0.3">
      <c r="A237">
        <v>14523</v>
      </c>
      <c r="B237" s="1" t="s">
        <v>508</v>
      </c>
      <c r="C237" s="1" t="s">
        <v>509</v>
      </c>
      <c r="D237" s="2">
        <v>26642</v>
      </c>
      <c r="E237" s="1" t="s">
        <v>35</v>
      </c>
      <c r="F237" s="1" t="s">
        <v>67</v>
      </c>
      <c r="G237" s="1" t="s">
        <v>24</v>
      </c>
      <c r="H237" s="1" t="s">
        <v>24</v>
      </c>
      <c r="I237" s="1" t="s">
        <v>69</v>
      </c>
      <c r="J237">
        <v>176941</v>
      </c>
      <c r="K237">
        <v>0</v>
      </c>
      <c r="L237">
        <v>0</v>
      </c>
      <c r="M237">
        <v>0</v>
      </c>
      <c r="N237">
        <v>3</v>
      </c>
      <c r="O237" s="1" t="s">
        <v>32</v>
      </c>
      <c r="P237">
        <v>11</v>
      </c>
      <c r="Q237">
        <v>0</v>
      </c>
      <c r="R237">
        <v>1</v>
      </c>
      <c r="S237">
        <v>2</v>
      </c>
      <c r="T237">
        <v>1</v>
      </c>
      <c r="U237">
        <f>IF(openpolis_patrimoni_trasparenti_anno_2014[[#This Row],[totale_730_dichiarante]]&lt;&gt;0,LOG10(openpolis_patrimoni_trasparenti_anno_2014[[#This Row],[totale_730_dichiarante]]), 0)</f>
        <v>5.2478284774016712</v>
      </c>
    </row>
    <row r="238" spans="1:21" x14ac:dyDescent="0.3">
      <c r="A238">
        <v>1572</v>
      </c>
      <c r="B238" s="1" t="s">
        <v>51</v>
      </c>
      <c r="C238" s="1" t="s">
        <v>510</v>
      </c>
      <c r="D238" s="2">
        <v>17256</v>
      </c>
      <c r="E238" s="1" t="s">
        <v>156</v>
      </c>
      <c r="F238" s="1" t="s">
        <v>67</v>
      </c>
      <c r="G238" s="1" t="s">
        <v>36</v>
      </c>
      <c r="H238" s="1" t="s">
        <v>168</v>
      </c>
      <c r="I238" s="1" t="s">
        <v>271</v>
      </c>
      <c r="J238">
        <v>151037</v>
      </c>
      <c r="K238">
        <v>0</v>
      </c>
      <c r="L238">
        <v>0</v>
      </c>
      <c r="M238">
        <v>0</v>
      </c>
      <c r="N238">
        <v>3</v>
      </c>
      <c r="O238" s="1" t="s">
        <v>32</v>
      </c>
      <c r="P238">
        <v>10</v>
      </c>
      <c r="Q238">
        <v>0</v>
      </c>
      <c r="R238">
        <v>3</v>
      </c>
      <c r="S238">
        <v>0</v>
      </c>
      <c r="T238">
        <v>0</v>
      </c>
      <c r="U238">
        <f>IF(openpolis_patrimoni_trasparenti_anno_2014[[#This Row],[totale_730_dichiarante]]&lt;&gt;0,LOG10(openpolis_patrimoni_trasparenti_anno_2014[[#This Row],[totale_730_dichiarante]]), 0)</f>
        <v>5.1790833507861906</v>
      </c>
    </row>
    <row r="239" spans="1:21" x14ac:dyDescent="0.3">
      <c r="A239">
        <v>158867</v>
      </c>
      <c r="B239" s="1" t="s">
        <v>511</v>
      </c>
      <c r="C239" s="1" t="s">
        <v>512</v>
      </c>
      <c r="D239" s="2">
        <v>21051</v>
      </c>
      <c r="E239" s="1" t="s">
        <v>35</v>
      </c>
      <c r="F239" s="1" t="s">
        <v>67</v>
      </c>
      <c r="G239" s="1" t="s">
        <v>24</v>
      </c>
      <c r="H239" s="1" t="s">
        <v>24</v>
      </c>
      <c r="I239" s="1" t="s">
        <v>69</v>
      </c>
      <c r="J239">
        <v>90190</v>
      </c>
      <c r="K239">
        <v>0</v>
      </c>
      <c r="L239">
        <v>0</v>
      </c>
      <c r="M239">
        <v>0</v>
      </c>
      <c r="N239">
        <v>3</v>
      </c>
      <c r="O239" s="1" t="s">
        <v>32</v>
      </c>
      <c r="P239">
        <v>4</v>
      </c>
      <c r="Q239">
        <v>0</v>
      </c>
      <c r="R239">
        <v>1</v>
      </c>
      <c r="S239">
        <v>1</v>
      </c>
      <c r="T239">
        <v>1</v>
      </c>
      <c r="U239">
        <f>IF(openpolis_patrimoni_trasparenti_anno_2014[[#This Row],[totale_730_dichiarante]]&lt;&gt;0,LOG10(openpolis_patrimoni_trasparenti_anno_2014[[#This Row],[totale_730_dichiarante]]), 0)</f>
        <v>4.9551583869257936</v>
      </c>
    </row>
    <row r="240" spans="1:21" x14ac:dyDescent="0.3">
      <c r="A240">
        <v>1566</v>
      </c>
      <c r="B240" s="1" t="s">
        <v>171</v>
      </c>
      <c r="C240" s="1" t="s">
        <v>513</v>
      </c>
      <c r="D240" s="2">
        <v>20179</v>
      </c>
      <c r="E240" s="1" t="s">
        <v>465</v>
      </c>
      <c r="F240" s="1" t="s">
        <v>67</v>
      </c>
      <c r="G240" s="1" t="s">
        <v>24</v>
      </c>
      <c r="H240" s="1" t="s">
        <v>24</v>
      </c>
      <c r="I240" s="1" t="s">
        <v>115</v>
      </c>
      <c r="J240">
        <v>181600</v>
      </c>
      <c r="K240">
        <v>0</v>
      </c>
      <c r="L240">
        <v>0</v>
      </c>
      <c r="M240">
        <v>0</v>
      </c>
      <c r="N240">
        <v>3</v>
      </c>
      <c r="O240" s="1" t="s">
        <v>32</v>
      </c>
      <c r="P240">
        <v>10</v>
      </c>
      <c r="Q240">
        <v>0</v>
      </c>
      <c r="R240">
        <v>1</v>
      </c>
      <c r="S240">
        <v>0</v>
      </c>
      <c r="T240">
        <v>0</v>
      </c>
      <c r="U240">
        <f>IF(openpolis_patrimoni_trasparenti_anno_2014[[#This Row],[totale_730_dichiarante]]&lt;&gt;0,LOG10(openpolis_patrimoni_trasparenti_anno_2014[[#This Row],[totale_730_dichiarante]]), 0)</f>
        <v>5.2591158441850663</v>
      </c>
    </row>
    <row r="241" spans="1:21" x14ac:dyDescent="0.3">
      <c r="A241">
        <v>1565</v>
      </c>
      <c r="B241" s="1" t="s">
        <v>346</v>
      </c>
      <c r="C241" s="1" t="s">
        <v>514</v>
      </c>
      <c r="D241" s="2">
        <v>23594</v>
      </c>
      <c r="E241" s="1" t="s">
        <v>49</v>
      </c>
      <c r="F241" s="1" t="s">
        <v>67</v>
      </c>
      <c r="G241" s="1" t="s">
        <v>24</v>
      </c>
      <c r="H241" s="1" t="s">
        <v>24</v>
      </c>
      <c r="I241" s="1" t="s">
        <v>46</v>
      </c>
      <c r="J241">
        <v>96709</v>
      </c>
      <c r="K241">
        <v>5252</v>
      </c>
      <c r="L241">
        <v>0</v>
      </c>
      <c r="M241">
        <v>0</v>
      </c>
      <c r="N241">
        <v>1</v>
      </c>
      <c r="O241" s="1" t="s">
        <v>383</v>
      </c>
      <c r="P241">
        <v>2</v>
      </c>
      <c r="Q241">
        <v>0</v>
      </c>
      <c r="R241">
        <v>0</v>
      </c>
      <c r="S241">
        <v>0</v>
      </c>
      <c r="T241">
        <v>0</v>
      </c>
      <c r="U241">
        <f>IF(openpolis_patrimoni_trasparenti_anno_2014[[#This Row],[totale_730_dichiarante]]&lt;&gt;0,LOG10(openpolis_patrimoni_trasparenti_anno_2014[[#This Row],[totale_730_dichiarante]]), 0)</f>
        <v>4.9854668925779002</v>
      </c>
    </row>
    <row r="242" spans="1:21" x14ac:dyDescent="0.3">
      <c r="A242">
        <v>80512</v>
      </c>
      <c r="B242" s="1" t="s">
        <v>511</v>
      </c>
      <c r="C242" s="1" t="s">
        <v>515</v>
      </c>
      <c r="D242" s="2">
        <v>21262</v>
      </c>
      <c r="E242" s="1" t="s">
        <v>29</v>
      </c>
      <c r="F242" s="1" t="s">
        <v>67</v>
      </c>
      <c r="G242" s="1" t="s">
        <v>24</v>
      </c>
      <c r="H242" s="1" t="s">
        <v>24</v>
      </c>
      <c r="I242" s="1" t="s">
        <v>69</v>
      </c>
      <c r="J242">
        <v>84424</v>
      </c>
      <c r="K242">
        <v>0</v>
      </c>
      <c r="L242">
        <v>0</v>
      </c>
      <c r="M242">
        <v>0</v>
      </c>
      <c r="N242">
        <v>2</v>
      </c>
      <c r="O242" s="1" t="s">
        <v>43</v>
      </c>
      <c r="P242">
        <v>2</v>
      </c>
      <c r="Q242">
        <v>0</v>
      </c>
      <c r="R242">
        <v>1</v>
      </c>
      <c r="S242">
        <v>0</v>
      </c>
      <c r="T242">
        <v>0</v>
      </c>
      <c r="U242">
        <f>IF(openpolis_patrimoni_trasparenti_anno_2014[[#This Row],[totale_730_dichiarante]]&lt;&gt;0,LOG10(openpolis_patrimoni_trasparenti_anno_2014[[#This Row],[totale_730_dichiarante]]), 0)</f>
        <v>4.9264659251315059</v>
      </c>
    </row>
    <row r="243" spans="1:21" x14ac:dyDescent="0.3">
      <c r="A243">
        <v>1564</v>
      </c>
      <c r="B243" s="1" t="s">
        <v>516</v>
      </c>
      <c r="C243" s="1" t="s">
        <v>515</v>
      </c>
      <c r="D243" s="2">
        <v>19816</v>
      </c>
      <c r="E243" s="1" t="s">
        <v>146</v>
      </c>
      <c r="F243" s="1" t="s">
        <v>67</v>
      </c>
      <c r="G243" s="1" t="s">
        <v>36</v>
      </c>
      <c r="H243" s="1" t="s">
        <v>314</v>
      </c>
      <c r="I243" s="1" t="s">
        <v>345</v>
      </c>
      <c r="J243">
        <v>101540</v>
      </c>
      <c r="K243">
        <v>0</v>
      </c>
      <c r="L243">
        <v>0</v>
      </c>
      <c r="M243">
        <v>0</v>
      </c>
      <c r="N243">
        <v>3</v>
      </c>
      <c r="O243" s="1" t="s">
        <v>32</v>
      </c>
      <c r="P243">
        <v>0</v>
      </c>
      <c r="Q243">
        <v>0</v>
      </c>
      <c r="R243">
        <v>4</v>
      </c>
      <c r="S243">
        <v>0</v>
      </c>
      <c r="T243">
        <v>0</v>
      </c>
      <c r="U243">
        <f>IF(openpolis_patrimoni_trasparenti_anno_2014[[#This Row],[totale_730_dichiarante]]&lt;&gt;0,LOG10(openpolis_patrimoni_trasparenti_anno_2014[[#This Row],[totale_730_dichiarante]]), 0)</f>
        <v>5.0066371590685863</v>
      </c>
    </row>
    <row r="244" spans="1:21" x14ac:dyDescent="0.3">
      <c r="A244">
        <v>686979</v>
      </c>
      <c r="B244" s="1" t="s">
        <v>517</v>
      </c>
      <c r="C244" s="1" t="s">
        <v>518</v>
      </c>
      <c r="D244" s="2">
        <v>18108</v>
      </c>
      <c r="E244" s="1" t="s">
        <v>86</v>
      </c>
      <c r="F244" s="1" t="s">
        <v>67</v>
      </c>
      <c r="G244" s="1" t="s">
        <v>24</v>
      </c>
      <c r="H244" s="1" t="s">
        <v>24</v>
      </c>
      <c r="I244" s="1" t="s">
        <v>46</v>
      </c>
      <c r="J244">
        <v>162885</v>
      </c>
      <c r="K244">
        <v>0</v>
      </c>
      <c r="L244">
        <v>0</v>
      </c>
      <c r="M244">
        <v>0</v>
      </c>
      <c r="N244">
        <v>2</v>
      </c>
      <c r="O244" s="1" t="s">
        <v>43</v>
      </c>
      <c r="P244">
        <v>1</v>
      </c>
      <c r="Q244">
        <v>0</v>
      </c>
      <c r="R244">
        <v>1</v>
      </c>
      <c r="S244">
        <v>0</v>
      </c>
      <c r="T244">
        <v>0</v>
      </c>
      <c r="U244">
        <f>IF(openpolis_patrimoni_trasparenti_anno_2014[[#This Row],[totale_730_dichiarante]]&lt;&gt;0,LOG10(openpolis_patrimoni_trasparenti_anno_2014[[#This Row],[totale_730_dichiarante]]), 0)</f>
        <v>5.2118810921834386</v>
      </c>
    </row>
    <row r="245" spans="1:21" x14ac:dyDescent="0.3">
      <c r="A245">
        <v>180261</v>
      </c>
      <c r="B245" s="1" t="s">
        <v>519</v>
      </c>
      <c r="C245" s="1" t="s">
        <v>520</v>
      </c>
      <c r="D245" s="2">
        <v>20427</v>
      </c>
      <c r="E245" s="1" t="s">
        <v>29</v>
      </c>
      <c r="F245" s="1" t="s">
        <v>67</v>
      </c>
      <c r="G245" s="1" t="s">
        <v>24</v>
      </c>
      <c r="H245" s="1" t="s">
        <v>24</v>
      </c>
      <c r="I245" s="1" t="s">
        <v>69</v>
      </c>
      <c r="J245">
        <v>97849</v>
      </c>
      <c r="K245">
        <v>0</v>
      </c>
      <c r="L245">
        <v>0</v>
      </c>
      <c r="M245">
        <v>0</v>
      </c>
      <c r="N245">
        <v>3</v>
      </c>
      <c r="O245" s="1" t="s">
        <v>32</v>
      </c>
      <c r="P245">
        <v>2</v>
      </c>
      <c r="Q245">
        <v>0</v>
      </c>
      <c r="R245">
        <v>1</v>
      </c>
      <c r="S245">
        <v>0</v>
      </c>
      <c r="T245">
        <v>0</v>
      </c>
      <c r="U245">
        <f>IF(openpolis_patrimoni_trasparenti_anno_2014[[#This Row],[totale_730_dichiarante]]&lt;&gt;0,LOG10(openpolis_patrimoni_trasparenti_anno_2014[[#This Row],[totale_730_dichiarante]]), 0)</f>
        <v>4.9905563916015714</v>
      </c>
    </row>
    <row r="246" spans="1:21" x14ac:dyDescent="0.3">
      <c r="A246">
        <v>685751</v>
      </c>
      <c r="B246" s="1" t="s">
        <v>521</v>
      </c>
      <c r="C246" s="1" t="s">
        <v>522</v>
      </c>
      <c r="D246" s="2">
        <v>19127</v>
      </c>
      <c r="E246" s="1" t="s">
        <v>29</v>
      </c>
      <c r="F246" s="1" t="s">
        <v>67</v>
      </c>
      <c r="G246" s="1" t="s">
        <v>24</v>
      </c>
      <c r="H246" s="1" t="s">
        <v>24</v>
      </c>
      <c r="I246" s="1" t="s">
        <v>393</v>
      </c>
      <c r="J246">
        <v>106469</v>
      </c>
      <c r="K246">
        <v>0</v>
      </c>
      <c r="L246">
        <v>0</v>
      </c>
      <c r="M246">
        <v>0</v>
      </c>
      <c r="N246">
        <v>3</v>
      </c>
      <c r="O246" s="1" t="s">
        <v>32</v>
      </c>
      <c r="P246">
        <v>21</v>
      </c>
      <c r="Q246">
        <v>5</v>
      </c>
      <c r="R246">
        <v>1</v>
      </c>
      <c r="S246">
        <v>1</v>
      </c>
      <c r="T246">
        <v>0</v>
      </c>
      <c r="U246">
        <f>IF(openpolis_patrimoni_trasparenti_anno_2014[[#This Row],[totale_730_dichiarante]]&lt;&gt;0,LOG10(openpolis_patrimoni_trasparenti_anno_2014[[#This Row],[totale_730_dichiarante]]), 0)</f>
        <v>5.0272231750166174</v>
      </c>
    </row>
    <row r="247" spans="1:21" x14ac:dyDescent="0.3">
      <c r="A247">
        <v>687019</v>
      </c>
      <c r="B247" s="1" t="s">
        <v>511</v>
      </c>
      <c r="C247" s="1" t="s">
        <v>523</v>
      </c>
      <c r="D247" s="2">
        <v>24273</v>
      </c>
      <c r="E247" s="1" t="s">
        <v>49</v>
      </c>
      <c r="F247" s="1" t="s">
        <v>67</v>
      </c>
      <c r="G247" s="1" t="s">
        <v>102</v>
      </c>
      <c r="H247" s="1" t="s">
        <v>102</v>
      </c>
      <c r="I247" s="1" t="s">
        <v>291</v>
      </c>
      <c r="J247">
        <v>93051</v>
      </c>
      <c r="K247">
        <v>0</v>
      </c>
      <c r="L247">
        <v>0</v>
      </c>
      <c r="M247">
        <v>0</v>
      </c>
      <c r="N247">
        <v>3</v>
      </c>
      <c r="O247" s="1" t="s">
        <v>32</v>
      </c>
      <c r="P247">
        <v>7</v>
      </c>
      <c r="Q247">
        <v>0</v>
      </c>
      <c r="R247">
        <v>1</v>
      </c>
      <c r="S247">
        <v>0</v>
      </c>
      <c r="T247">
        <v>0</v>
      </c>
      <c r="U247">
        <f>IF(openpolis_patrimoni_trasparenti_anno_2014[[#This Row],[totale_730_dichiarante]]&lt;&gt;0,LOG10(openpolis_patrimoni_trasparenti_anno_2014[[#This Row],[totale_730_dichiarante]]), 0)</f>
        <v>4.9687210447655312</v>
      </c>
    </row>
    <row r="248" spans="1:21" x14ac:dyDescent="0.3">
      <c r="A248">
        <v>721368</v>
      </c>
      <c r="B248" s="1" t="s">
        <v>141</v>
      </c>
      <c r="C248" s="1" t="s">
        <v>524</v>
      </c>
      <c r="D248" s="2">
        <v>17376</v>
      </c>
      <c r="E248" s="1" t="s">
        <v>136</v>
      </c>
      <c r="F248" s="1" t="s">
        <v>67</v>
      </c>
      <c r="G248" s="1" t="s">
        <v>24</v>
      </c>
      <c r="H248" s="1" t="s">
        <v>24</v>
      </c>
      <c r="I248" s="1" t="s">
        <v>191</v>
      </c>
      <c r="J248">
        <v>61090</v>
      </c>
      <c r="K248">
        <v>0</v>
      </c>
      <c r="L248">
        <v>0</v>
      </c>
      <c r="M248">
        <v>0</v>
      </c>
      <c r="N248">
        <v>3</v>
      </c>
      <c r="O248" s="1" t="s">
        <v>61</v>
      </c>
      <c r="P248">
        <v>1</v>
      </c>
      <c r="Q248">
        <v>0</v>
      </c>
      <c r="R248">
        <v>1</v>
      </c>
      <c r="S248">
        <v>1</v>
      </c>
      <c r="T248">
        <v>0</v>
      </c>
      <c r="U248">
        <f>IF(openpolis_patrimoni_trasparenti_anno_2014[[#This Row],[totale_730_dichiarante]]&lt;&gt;0,LOG10(openpolis_patrimoni_trasparenti_anno_2014[[#This Row],[totale_730_dichiarante]]), 0)</f>
        <v>4.7859701251320095</v>
      </c>
    </row>
    <row r="249" spans="1:21" x14ac:dyDescent="0.3">
      <c r="A249">
        <v>333103</v>
      </c>
      <c r="B249" s="1" t="s">
        <v>355</v>
      </c>
      <c r="C249" s="1" t="s">
        <v>525</v>
      </c>
      <c r="D249" s="2">
        <v>18873</v>
      </c>
      <c r="E249" s="1" t="s">
        <v>29</v>
      </c>
      <c r="F249" s="1" t="s">
        <v>67</v>
      </c>
      <c r="G249" s="1" t="s">
        <v>36</v>
      </c>
      <c r="H249" s="1" t="s">
        <v>37</v>
      </c>
      <c r="I249" s="1" t="s">
        <v>286</v>
      </c>
      <c r="J249">
        <v>99822</v>
      </c>
      <c r="K249">
        <v>0</v>
      </c>
      <c r="L249">
        <v>0</v>
      </c>
      <c r="M249">
        <v>0</v>
      </c>
      <c r="N249">
        <v>3</v>
      </c>
      <c r="O249" s="1" t="s">
        <v>32</v>
      </c>
      <c r="P249">
        <v>1</v>
      </c>
      <c r="Q249">
        <v>0</v>
      </c>
      <c r="R249">
        <v>1</v>
      </c>
      <c r="S249">
        <v>0</v>
      </c>
      <c r="T249">
        <v>0</v>
      </c>
      <c r="U249">
        <f>IF(openpolis_patrimoni_trasparenti_anno_2014[[#This Row],[totale_730_dichiarante]]&lt;&gt;0,LOG10(openpolis_patrimoni_trasparenti_anno_2014[[#This Row],[totale_730_dichiarante]]), 0)</f>
        <v>4.9992262669953647</v>
      </c>
    </row>
    <row r="250" spans="1:21" x14ac:dyDescent="0.3">
      <c r="A250">
        <v>602597</v>
      </c>
      <c r="B250" s="1" t="s">
        <v>526</v>
      </c>
      <c r="C250" s="1" t="s">
        <v>527</v>
      </c>
      <c r="D250" s="2">
        <v>18651</v>
      </c>
      <c r="E250" s="1" t="s">
        <v>41</v>
      </c>
      <c r="F250" s="1" t="s">
        <v>67</v>
      </c>
      <c r="G250" s="1" t="s">
        <v>36</v>
      </c>
      <c r="H250" s="1" t="s">
        <v>298</v>
      </c>
      <c r="I250" s="1" t="s">
        <v>286</v>
      </c>
      <c r="J250">
        <v>265584</v>
      </c>
      <c r="K250">
        <v>0</v>
      </c>
      <c r="L250">
        <v>0</v>
      </c>
      <c r="M250">
        <v>0</v>
      </c>
      <c r="N250">
        <v>3</v>
      </c>
      <c r="O250" s="1" t="s">
        <v>32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f>IF(openpolis_patrimoni_trasparenti_anno_2014[[#This Row],[totale_730_dichiarante]]&lt;&gt;0,LOG10(openpolis_patrimoni_trasparenti_anno_2014[[#This Row],[totale_730_dichiarante]]), 0)</f>
        <v>5.4242019075897394</v>
      </c>
    </row>
    <row r="251" spans="1:21" x14ac:dyDescent="0.3">
      <c r="A251">
        <v>687004</v>
      </c>
      <c r="B251" s="1" t="s">
        <v>528</v>
      </c>
      <c r="C251" s="1" t="s">
        <v>529</v>
      </c>
      <c r="D251" s="2">
        <v>25444</v>
      </c>
      <c r="E251" s="1" t="s">
        <v>35</v>
      </c>
      <c r="F251" s="1" t="s">
        <v>67</v>
      </c>
      <c r="G251" s="1" t="s">
        <v>24</v>
      </c>
      <c r="H251" s="1" t="s">
        <v>24</v>
      </c>
      <c r="I251" s="1" t="s">
        <v>58</v>
      </c>
      <c r="J251">
        <v>107085</v>
      </c>
      <c r="K251">
        <v>0</v>
      </c>
      <c r="L251">
        <v>0</v>
      </c>
      <c r="M251">
        <v>0</v>
      </c>
      <c r="N251">
        <v>2</v>
      </c>
      <c r="O251" s="1" t="s">
        <v>43</v>
      </c>
      <c r="P251">
        <v>5</v>
      </c>
      <c r="Q251">
        <v>0</v>
      </c>
      <c r="R251">
        <v>1</v>
      </c>
      <c r="S251">
        <v>0</v>
      </c>
      <c r="T251">
        <v>0</v>
      </c>
      <c r="U251">
        <f>IF(openpolis_patrimoni_trasparenti_anno_2014[[#This Row],[totale_730_dichiarante]]&lt;&gt;0,LOG10(openpolis_patrimoni_trasparenti_anno_2014[[#This Row],[totale_730_dichiarante]]), 0)</f>
        <v>5.0297286410142759</v>
      </c>
    </row>
    <row r="252" spans="1:21" x14ac:dyDescent="0.3">
      <c r="A252">
        <v>685735</v>
      </c>
      <c r="B252" s="1" t="s">
        <v>387</v>
      </c>
      <c r="C252" s="1" t="s">
        <v>530</v>
      </c>
      <c r="D252" s="2">
        <v>22891</v>
      </c>
      <c r="E252" s="1" t="s">
        <v>49</v>
      </c>
      <c r="F252" s="1" t="s">
        <v>67</v>
      </c>
      <c r="G252" s="1" t="s">
        <v>102</v>
      </c>
      <c r="H252" s="1" t="s">
        <v>102</v>
      </c>
      <c r="I252" s="1" t="s">
        <v>94</v>
      </c>
      <c r="J252">
        <v>85235</v>
      </c>
      <c r="K252">
        <v>0</v>
      </c>
      <c r="L252">
        <v>0</v>
      </c>
      <c r="M252">
        <v>0</v>
      </c>
      <c r="N252">
        <v>2</v>
      </c>
      <c r="O252" s="1" t="s">
        <v>43</v>
      </c>
      <c r="P252">
        <v>7</v>
      </c>
      <c r="Q252">
        <v>4</v>
      </c>
      <c r="R252">
        <v>1</v>
      </c>
      <c r="S252">
        <v>2</v>
      </c>
      <c r="T252">
        <v>0</v>
      </c>
      <c r="U252">
        <f>IF(openpolis_patrimoni_trasparenti_anno_2014[[#This Row],[totale_730_dichiarante]]&lt;&gt;0,LOG10(openpolis_patrimoni_trasparenti_anno_2014[[#This Row],[totale_730_dichiarante]]), 0)</f>
        <v>4.9306179654896187</v>
      </c>
    </row>
    <row r="253" spans="1:21" x14ac:dyDescent="0.3">
      <c r="A253">
        <v>687093</v>
      </c>
      <c r="B253" s="1" t="s">
        <v>215</v>
      </c>
      <c r="C253" s="1" t="s">
        <v>531</v>
      </c>
      <c r="D253" s="2">
        <v>21926</v>
      </c>
      <c r="E253" s="1" t="s">
        <v>532</v>
      </c>
      <c r="F253" s="1" t="s">
        <v>67</v>
      </c>
      <c r="G253" s="1" t="s">
        <v>102</v>
      </c>
      <c r="H253" s="1" t="s">
        <v>102</v>
      </c>
      <c r="I253" s="1" t="s">
        <v>115</v>
      </c>
      <c r="J253">
        <v>81889.2</v>
      </c>
      <c r="K253">
        <v>0</v>
      </c>
      <c r="L253">
        <v>0</v>
      </c>
      <c r="M253">
        <v>0</v>
      </c>
      <c r="N253">
        <v>2</v>
      </c>
      <c r="O253" s="1" t="s">
        <v>43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f>IF(openpolis_patrimoni_trasparenti_anno_2014[[#This Row],[totale_730_dichiarante]]&lt;&gt;0,LOG10(openpolis_patrimoni_trasparenti_anno_2014[[#This Row],[totale_730_dichiarante]]), 0)</f>
        <v>4.9132266283820591</v>
      </c>
    </row>
    <row r="254" spans="1:21" x14ac:dyDescent="0.3">
      <c r="A254">
        <v>275068</v>
      </c>
      <c r="B254" s="1" t="s">
        <v>533</v>
      </c>
      <c r="C254" s="1" t="s">
        <v>534</v>
      </c>
      <c r="D254" s="2">
        <v>18043</v>
      </c>
      <c r="E254" s="1" t="s">
        <v>29</v>
      </c>
      <c r="F254" s="1" t="s">
        <v>67</v>
      </c>
      <c r="G254" s="1" t="s">
        <v>24</v>
      </c>
      <c r="H254" s="1" t="s">
        <v>24</v>
      </c>
      <c r="I254" s="1" t="s">
        <v>69</v>
      </c>
      <c r="J254">
        <v>124847</v>
      </c>
      <c r="K254">
        <v>0</v>
      </c>
      <c r="L254">
        <v>0</v>
      </c>
      <c r="M254">
        <v>0</v>
      </c>
      <c r="N254">
        <v>3</v>
      </c>
      <c r="O254" s="1" t="s">
        <v>32</v>
      </c>
      <c r="P254">
        <v>0</v>
      </c>
      <c r="Q254">
        <v>0</v>
      </c>
      <c r="R254">
        <v>1</v>
      </c>
      <c r="S254">
        <v>1</v>
      </c>
      <c r="T254">
        <v>0</v>
      </c>
      <c r="U254">
        <f>IF(openpolis_patrimoni_trasparenti_anno_2014[[#This Row],[totale_730_dichiarante]]&lt;&gt;0,LOG10(openpolis_patrimoni_trasparenti_anno_2014[[#This Row],[totale_730_dichiarante]]), 0)</f>
        <v>5.0963781109717132</v>
      </c>
    </row>
    <row r="255" spans="1:21" x14ac:dyDescent="0.3">
      <c r="A255">
        <v>342242</v>
      </c>
      <c r="B255" s="1" t="s">
        <v>535</v>
      </c>
      <c r="C255" s="1" t="s">
        <v>536</v>
      </c>
      <c r="D255" s="2">
        <v>22125</v>
      </c>
      <c r="E255" s="1" t="s">
        <v>35</v>
      </c>
      <c r="F255" s="1" t="s">
        <v>67</v>
      </c>
      <c r="G255" s="1" t="s">
        <v>25</v>
      </c>
      <c r="H255" s="1" t="s">
        <v>93</v>
      </c>
      <c r="I255" s="1" t="s">
        <v>393</v>
      </c>
      <c r="J255">
        <v>213732</v>
      </c>
      <c r="K255">
        <v>0</v>
      </c>
      <c r="L255">
        <v>0</v>
      </c>
      <c r="M255">
        <v>0</v>
      </c>
      <c r="N255">
        <v>3</v>
      </c>
      <c r="O255" s="1" t="s">
        <v>32</v>
      </c>
      <c r="P255">
        <v>2</v>
      </c>
      <c r="Q255">
        <v>7</v>
      </c>
      <c r="R255">
        <v>0</v>
      </c>
      <c r="S255">
        <v>0</v>
      </c>
      <c r="T255">
        <v>3</v>
      </c>
      <c r="U255">
        <f>IF(openpolis_patrimoni_trasparenti_anno_2014[[#This Row],[totale_730_dichiarante]]&lt;&gt;0,LOG10(openpolis_patrimoni_trasparenti_anno_2014[[#This Row],[totale_730_dichiarante]]), 0)</f>
        <v>5.3298695496933464</v>
      </c>
    </row>
    <row r="256" spans="1:21" x14ac:dyDescent="0.3">
      <c r="A256">
        <v>276824</v>
      </c>
      <c r="B256" s="1" t="s">
        <v>537</v>
      </c>
      <c r="C256" s="1" t="s">
        <v>538</v>
      </c>
      <c r="D256" s="2">
        <v>18537</v>
      </c>
      <c r="E256" s="1" t="s">
        <v>75</v>
      </c>
      <c r="F256" s="1" t="s">
        <v>67</v>
      </c>
      <c r="G256" s="1" t="s">
        <v>36</v>
      </c>
      <c r="H256" s="1" t="s">
        <v>168</v>
      </c>
      <c r="I256" s="1" t="s">
        <v>360</v>
      </c>
      <c r="J256">
        <v>125482</v>
      </c>
      <c r="K256">
        <v>0</v>
      </c>
      <c r="L256">
        <v>0</v>
      </c>
      <c r="M256">
        <v>0</v>
      </c>
      <c r="N256">
        <v>3</v>
      </c>
      <c r="O256" s="1" t="s">
        <v>32</v>
      </c>
      <c r="P256">
        <v>3</v>
      </c>
      <c r="Q256">
        <v>2</v>
      </c>
      <c r="R256">
        <v>1</v>
      </c>
      <c r="S256">
        <v>0</v>
      </c>
      <c r="T256">
        <v>0</v>
      </c>
      <c r="U256">
        <f>IF(openpolis_patrimoni_trasparenti_anno_2014[[#This Row],[totale_730_dichiarante]]&lt;&gt;0,LOG10(openpolis_patrimoni_trasparenti_anno_2014[[#This Row],[totale_730_dichiarante]]), 0)</f>
        <v>5.0985814321012715</v>
      </c>
    </row>
    <row r="257" spans="1:21" x14ac:dyDescent="0.3">
      <c r="A257">
        <v>359</v>
      </c>
      <c r="B257" s="1" t="s">
        <v>539</v>
      </c>
      <c r="C257" s="1" t="s">
        <v>540</v>
      </c>
      <c r="D257" s="2">
        <v>22739</v>
      </c>
      <c r="E257" s="1" t="s">
        <v>22</v>
      </c>
      <c r="F257" s="1" t="s">
        <v>377</v>
      </c>
      <c r="G257" s="1" t="s">
        <v>237</v>
      </c>
      <c r="H257" s="1" t="s">
        <v>25</v>
      </c>
      <c r="I257" s="1" t="s">
        <v>271</v>
      </c>
      <c r="J257">
        <v>103242</v>
      </c>
      <c r="K257">
        <v>0</v>
      </c>
      <c r="L257">
        <v>0</v>
      </c>
      <c r="M257">
        <v>0</v>
      </c>
      <c r="N257">
        <v>3</v>
      </c>
      <c r="O257" s="1" t="s">
        <v>32</v>
      </c>
      <c r="P257">
        <v>3</v>
      </c>
      <c r="Q257">
        <v>0</v>
      </c>
      <c r="R257">
        <v>1</v>
      </c>
      <c r="S257">
        <v>3</v>
      </c>
      <c r="T257">
        <v>0</v>
      </c>
      <c r="U257">
        <f>IF(openpolis_patrimoni_trasparenti_anno_2014[[#This Row],[totale_730_dichiarante]]&lt;&gt;0,LOG10(openpolis_patrimoni_trasparenti_anno_2014[[#This Row],[totale_730_dichiarante]]), 0)</f>
        <v>5.0138564090890982</v>
      </c>
    </row>
    <row r="258" spans="1:21" x14ac:dyDescent="0.3">
      <c r="A258">
        <v>332710</v>
      </c>
      <c r="B258" s="1" t="s">
        <v>541</v>
      </c>
      <c r="C258" s="1" t="s">
        <v>542</v>
      </c>
      <c r="D258" s="2">
        <v>23734</v>
      </c>
      <c r="E258" s="1" t="s">
        <v>35</v>
      </c>
      <c r="F258" s="1" t="s">
        <v>67</v>
      </c>
      <c r="G258" s="1" t="s">
        <v>25</v>
      </c>
      <c r="H258" s="1" t="s">
        <v>168</v>
      </c>
      <c r="I258" s="1" t="s">
        <v>430</v>
      </c>
      <c r="J258">
        <v>130465</v>
      </c>
      <c r="K258">
        <v>58781</v>
      </c>
      <c r="L258">
        <v>0</v>
      </c>
      <c r="M258">
        <v>0</v>
      </c>
      <c r="N258">
        <v>1</v>
      </c>
      <c r="O258" s="1" t="s">
        <v>383</v>
      </c>
      <c r="P258">
        <v>3</v>
      </c>
      <c r="Q258">
        <v>0</v>
      </c>
      <c r="R258">
        <v>0</v>
      </c>
      <c r="S258">
        <v>0</v>
      </c>
      <c r="T258">
        <v>0</v>
      </c>
      <c r="U258">
        <f>IF(openpolis_patrimoni_trasparenti_anno_2014[[#This Row],[totale_730_dichiarante]]&lt;&gt;0,LOG10(openpolis_patrimoni_trasparenti_anno_2014[[#This Row],[totale_730_dichiarante]]), 0)</f>
        <v>5.1154940186046716</v>
      </c>
    </row>
    <row r="259" spans="1:21" x14ac:dyDescent="0.3">
      <c r="A259">
        <v>132852</v>
      </c>
      <c r="B259" s="1" t="s">
        <v>436</v>
      </c>
      <c r="C259" s="1" t="s">
        <v>543</v>
      </c>
      <c r="D259" s="2">
        <v>25769</v>
      </c>
      <c r="E259" s="1" t="s">
        <v>49</v>
      </c>
      <c r="F259" s="1" t="s">
        <v>67</v>
      </c>
      <c r="G259" s="1" t="s">
        <v>24</v>
      </c>
      <c r="H259" s="1" t="s">
        <v>24</v>
      </c>
      <c r="I259" s="1" t="s">
        <v>271</v>
      </c>
      <c r="J259">
        <v>100133</v>
      </c>
      <c r="K259">
        <v>0</v>
      </c>
      <c r="L259">
        <v>0</v>
      </c>
      <c r="M259">
        <v>0</v>
      </c>
      <c r="N259">
        <v>3</v>
      </c>
      <c r="O259" s="1" t="s">
        <v>32</v>
      </c>
      <c r="P259">
        <v>8</v>
      </c>
      <c r="Q259">
        <v>23</v>
      </c>
      <c r="R259">
        <v>1</v>
      </c>
      <c r="S259">
        <v>1</v>
      </c>
      <c r="T259">
        <v>0</v>
      </c>
      <c r="U259">
        <f>IF(openpolis_patrimoni_trasparenti_anno_2014[[#This Row],[totale_730_dichiarante]]&lt;&gt;0,LOG10(openpolis_patrimoni_trasparenti_anno_2014[[#This Row],[totale_730_dichiarante]]), 0)</f>
        <v>5.0005772278894165</v>
      </c>
    </row>
    <row r="260" spans="1:21" x14ac:dyDescent="0.3">
      <c r="A260">
        <v>7629</v>
      </c>
      <c r="B260" s="1" t="s">
        <v>107</v>
      </c>
      <c r="C260" s="1" t="s">
        <v>544</v>
      </c>
      <c r="D260" s="2">
        <v>21443</v>
      </c>
      <c r="E260" s="1" t="s">
        <v>101</v>
      </c>
      <c r="F260" s="1" t="s">
        <v>67</v>
      </c>
      <c r="G260" s="1" t="s">
        <v>36</v>
      </c>
      <c r="H260" s="1" t="s">
        <v>37</v>
      </c>
      <c r="I260" s="1" t="s">
        <v>286</v>
      </c>
      <c r="J260">
        <v>104647</v>
      </c>
      <c r="K260">
        <v>0</v>
      </c>
      <c r="L260">
        <v>0</v>
      </c>
      <c r="M260">
        <v>0</v>
      </c>
      <c r="N260">
        <v>3</v>
      </c>
      <c r="O260" s="1" t="s">
        <v>32</v>
      </c>
      <c r="P260">
        <v>1</v>
      </c>
      <c r="Q260">
        <v>0</v>
      </c>
      <c r="R260">
        <v>0</v>
      </c>
      <c r="S260">
        <v>1</v>
      </c>
      <c r="T260">
        <v>4</v>
      </c>
      <c r="U260">
        <f>IF(openpolis_patrimoni_trasparenti_anno_2014[[#This Row],[totale_730_dichiarante]]&lt;&gt;0,LOG10(openpolis_patrimoni_trasparenti_anno_2014[[#This Row],[totale_730_dichiarante]]), 0)</f>
        <v>5.0197267825827705</v>
      </c>
    </row>
    <row r="261" spans="1:21" x14ac:dyDescent="0.3">
      <c r="A261">
        <v>1544</v>
      </c>
      <c r="B261" s="1" t="s">
        <v>545</v>
      </c>
      <c r="C261" s="1" t="s">
        <v>546</v>
      </c>
      <c r="D261" s="2">
        <v>21148</v>
      </c>
      <c r="E261" s="1" t="s">
        <v>29</v>
      </c>
      <c r="F261" s="1" t="s">
        <v>67</v>
      </c>
      <c r="G261" s="1" t="s">
        <v>126</v>
      </c>
      <c r="H261" s="1" t="s">
        <v>54</v>
      </c>
      <c r="I261" s="1" t="s">
        <v>291</v>
      </c>
      <c r="J261">
        <v>126486</v>
      </c>
      <c r="K261">
        <v>0</v>
      </c>
      <c r="L261">
        <v>0</v>
      </c>
      <c r="M261">
        <v>0</v>
      </c>
      <c r="N261">
        <v>2</v>
      </c>
      <c r="O261" s="1" t="s">
        <v>43</v>
      </c>
      <c r="P261">
        <v>5</v>
      </c>
      <c r="Q261">
        <v>0</v>
      </c>
      <c r="R261">
        <v>1</v>
      </c>
      <c r="S261">
        <v>0</v>
      </c>
      <c r="T261">
        <v>0</v>
      </c>
      <c r="U261">
        <f>IF(openpolis_patrimoni_trasparenti_anno_2014[[#This Row],[totale_730_dichiarante]]&lt;&gt;0,LOG10(openpolis_patrimoni_trasparenti_anno_2014[[#This Row],[totale_730_dichiarante]]), 0)</f>
        <v>5.1020424586405246</v>
      </c>
    </row>
    <row r="262" spans="1:21" x14ac:dyDescent="0.3">
      <c r="A262">
        <v>686937</v>
      </c>
      <c r="B262" s="1" t="s">
        <v>547</v>
      </c>
      <c r="C262" s="1" t="s">
        <v>548</v>
      </c>
      <c r="D262" s="2">
        <v>20929</v>
      </c>
      <c r="E262" s="1" t="s">
        <v>41</v>
      </c>
      <c r="F262" s="1" t="s">
        <v>67</v>
      </c>
      <c r="G262" s="1" t="s">
        <v>102</v>
      </c>
      <c r="H262" s="1" t="s">
        <v>54</v>
      </c>
      <c r="I262" s="1" t="s">
        <v>31</v>
      </c>
      <c r="J262">
        <v>84030</v>
      </c>
      <c r="K262">
        <v>0</v>
      </c>
      <c r="L262">
        <v>0</v>
      </c>
      <c r="M262">
        <v>0</v>
      </c>
      <c r="N262">
        <v>3</v>
      </c>
      <c r="O262" s="1" t="s">
        <v>32</v>
      </c>
      <c r="P262">
        <v>1</v>
      </c>
      <c r="Q262">
        <v>0</v>
      </c>
      <c r="R262">
        <v>1</v>
      </c>
      <c r="S262">
        <v>1</v>
      </c>
      <c r="T262">
        <v>0</v>
      </c>
      <c r="U262">
        <f>IF(openpolis_patrimoni_trasparenti_anno_2014[[#This Row],[totale_730_dichiarante]]&lt;&gt;0,LOG10(openpolis_patrimoni_trasparenti_anno_2014[[#This Row],[totale_730_dichiarante]]), 0)</f>
        <v>4.9244343635432308</v>
      </c>
    </row>
    <row r="263" spans="1:21" x14ac:dyDescent="0.3">
      <c r="A263">
        <v>1541</v>
      </c>
      <c r="B263" s="1" t="s">
        <v>549</v>
      </c>
      <c r="C263" s="1" t="s">
        <v>550</v>
      </c>
      <c r="D263" s="2">
        <v>22341</v>
      </c>
      <c r="E263" s="1" t="s">
        <v>29</v>
      </c>
      <c r="F263" s="1" t="s">
        <v>67</v>
      </c>
      <c r="G263" s="1" t="s">
        <v>53</v>
      </c>
      <c r="H263" s="1" t="s">
        <v>314</v>
      </c>
      <c r="I263" s="1" t="s">
        <v>69</v>
      </c>
      <c r="J263">
        <v>100308</v>
      </c>
      <c r="K263">
        <v>0</v>
      </c>
      <c r="L263">
        <v>0</v>
      </c>
      <c r="M263">
        <v>0</v>
      </c>
      <c r="N263">
        <v>3</v>
      </c>
      <c r="O263" s="1" t="s">
        <v>32</v>
      </c>
      <c r="P263">
        <v>7</v>
      </c>
      <c r="Q263">
        <v>0</v>
      </c>
      <c r="R263">
        <v>1</v>
      </c>
      <c r="S263">
        <v>0</v>
      </c>
      <c r="T263">
        <v>0</v>
      </c>
      <c r="U263">
        <f>IF(openpolis_patrimoni_trasparenti_anno_2014[[#This Row],[totale_730_dichiarante]]&lt;&gt;0,LOG10(openpolis_patrimoni_trasparenti_anno_2014[[#This Row],[totale_730_dichiarante]]), 0)</f>
        <v>5.001335571278684</v>
      </c>
    </row>
    <row r="264" spans="1:21" x14ac:dyDescent="0.3">
      <c r="A264">
        <v>8953</v>
      </c>
      <c r="B264" s="1" t="s">
        <v>310</v>
      </c>
      <c r="C264" s="1" t="s">
        <v>551</v>
      </c>
      <c r="D264" s="2">
        <v>20473</v>
      </c>
      <c r="E264" s="1" t="s">
        <v>22</v>
      </c>
      <c r="F264" s="1" t="s">
        <v>67</v>
      </c>
      <c r="G264" s="1" t="s">
        <v>36</v>
      </c>
      <c r="H264" s="1" t="s">
        <v>168</v>
      </c>
      <c r="I264" s="1" t="s">
        <v>94</v>
      </c>
      <c r="J264">
        <v>96220</v>
      </c>
      <c r="K264">
        <v>0</v>
      </c>
      <c r="L264">
        <v>0</v>
      </c>
      <c r="M264">
        <v>0</v>
      </c>
      <c r="N264">
        <v>3</v>
      </c>
      <c r="O264" s="1" t="s">
        <v>32</v>
      </c>
      <c r="P264">
        <v>3</v>
      </c>
      <c r="Q264">
        <v>5</v>
      </c>
      <c r="R264">
        <v>1</v>
      </c>
      <c r="S264">
        <v>6</v>
      </c>
      <c r="T264">
        <v>0</v>
      </c>
      <c r="U264">
        <f>IF(openpolis_patrimoni_trasparenti_anno_2014[[#This Row],[totale_730_dichiarante]]&lt;&gt;0,LOG10(openpolis_patrimoni_trasparenti_anno_2014[[#This Row],[totale_730_dichiarante]]), 0)</f>
        <v>4.9832653525665451</v>
      </c>
    </row>
    <row r="265" spans="1:21" x14ac:dyDescent="0.3">
      <c r="A265">
        <v>687091</v>
      </c>
      <c r="B265" s="1" t="s">
        <v>552</v>
      </c>
      <c r="C265" s="1" t="s">
        <v>553</v>
      </c>
      <c r="D265" s="2">
        <v>22672</v>
      </c>
      <c r="E265" s="1" t="s">
        <v>35</v>
      </c>
      <c r="F265" s="1" t="s">
        <v>377</v>
      </c>
      <c r="G265" s="1" t="s">
        <v>237</v>
      </c>
      <c r="H265" s="1" t="s">
        <v>97</v>
      </c>
      <c r="I265" s="1" t="s">
        <v>115</v>
      </c>
      <c r="J265">
        <v>120655</v>
      </c>
      <c r="K265">
        <v>0</v>
      </c>
      <c r="L265">
        <v>0</v>
      </c>
      <c r="M265">
        <v>0</v>
      </c>
      <c r="N265">
        <v>2</v>
      </c>
      <c r="O265" s="1" t="s">
        <v>195</v>
      </c>
      <c r="P265">
        <v>8</v>
      </c>
      <c r="Q265">
        <v>1</v>
      </c>
      <c r="R265">
        <v>1</v>
      </c>
      <c r="S265">
        <v>4</v>
      </c>
      <c r="T265">
        <v>0</v>
      </c>
      <c r="U265">
        <f>IF(openpolis_patrimoni_trasparenti_anno_2014[[#This Row],[totale_730_dichiarante]]&lt;&gt;0,LOG10(openpolis_patrimoni_trasparenti_anno_2014[[#This Row],[totale_730_dichiarante]]), 0)</f>
        <v>5.0815453239855044</v>
      </c>
    </row>
    <row r="266" spans="1:21" x14ac:dyDescent="0.3">
      <c r="A266">
        <v>685760</v>
      </c>
      <c r="B266" s="1" t="s">
        <v>554</v>
      </c>
      <c r="C266" s="1" t="s">
        <v>555</v>
      </c>
      <c r="D266" s="2">
        <v>22182</v>
      </c>
      <c r="E266" s="1" t="s">
        <v>29</v>
      </c>
      <c r="F266" s="1" t="s">
        <v>67</v>
      </c>
      <c r="G266" s="1" t="s">
        <v>25</v>
      </c>
      <c r="H266" s="1" t="s">
        <v>24</v>
      </c>
      <c r="I266" s="1" t="s">
        <v>94</v>
      </c>
      <c r="J266">
        <v>108856</v>
      </c>
      <c r="K266">
        <v>54468</v>
      </c>
      <c r="L266">
        <v>0</v>
      </c>
      <c r="M266">
        <v>0</v>
      </c>
      <c r="N266">
        <v>3</v>
      </c>
      <c r="O266" s="1" t="s">
        <v>32</v>
      </c>
      <c r="P266">
        <v>4</v>
      </c>
      <c r="Q266">
        <v>0</v>
      </c>
      <c r="R266">
        <v>2</v>
      </c>
      <c r="S266">
        <v>0</v>
      </c>
      <c r="T266">
        <v>0</v>
      </c>
      <c r="U266">
        <f>IF(openpolis_patrimoni_trasparenti_anno_2014[[#This Row],[totale_730_dichiarante]]&lt;&gt;0,LOG10(openpolis_patrimoni_trasparenti_anno_2014[[#This Row],[totale_730_dichiarante]]), 0)</f>
        <v>5.0368523717792897</v>
      </c>
    </row>
    <row r="267" spans="1:21" x14ac:dyDescent="0.3">
      <c r="A267">
        <v>685828</v>
      </c>
      <c r="B267" s="1" t="s">
        <v>556</v>
      </c>
      <c r="C267" s="1" t="s">
        <v>557</v>
      </c>
      <c r="D267" s="2">
        <v>19768</v>
      </c>
      <c r="E267" s="1" t="s">
        <v>41</v>
      </c>
      <c r="F267" s="1" t="s">
        <v>67</v>
      </c>
      <c r="G267" s="1" t="s">
        <v>36</v>
      </c>
      <c r="H267" s="1" t="s">
        <v>168</v>
      </c>
      <c r="I267" s="1" t="s">
        <v>42</v>
      </c>
      <c r="J267">
        <v>459580</v>
      </c>
      <c r="K267">
        <v>0</v>
      </c>
      <c r="L267">
        <v>0</v>
      </c>
      <c r="M267">
        <v>0</v>
      </c>
      <c r="N267">
        <v>3</v>
      </c>
      <c r="O267" s="1" t="s">
        <v>83</v>
      </c>
      <c r="P267">
        <v>11</v>
      </c>
      <c r="Q267">
        <v>0</v>
      </c>
      <c r="R267">
        <v>19</v>
      </c>
      <c r="S267">
        <v>0</v>
      </c>
      <c r="T267">
        <v>0</v>
      </c>
      <c r="U267">
        <f>IF(openpolis_patrimoni_trasparenti_anno_2014[[#This Row],[totale_730_dichiarante]]&lt;&gt;0,LOG10(openpolis_patrimoni_trasparenti_anno_2014[[#This Row],[totale_730_dichiarante]]), 0)</f>
        <v>5.6623611208025144</v>
      </c>
    </row>
    <row r="268" spans="1:21" x14ac:dyDescent="0.3">
      <c r="A268">
        <v>500781</v>
      </c>
      <c r="B268" s="1" t="s">
        <v>355</v>
      </c>
      <c r="C268" s="1" t="s">
        <v>558</v>
      </c>
      <c r="D268" s="2">
        <v>18835</v>
      </c>
      <c r="E268" s="1" t="s">
        <v>49</v>
      </c>
      <c r="F268" s="1" t="s">
        <v>67</v>
      </c>
      <c r="G268" s="1" t="s">
        <v>36</v>
      </c>
      <c r="H268" s="1" t="s">
        <v>298</v>
      </c>
      <c r="I268" s="1" t="s">
        <v>286</v>
      </c>
      <c r="J268">
        <v>129864</v>
      </c>
      <c r="K268">
        <v>0</v>
      </c>
      <c r="L268">
        <v>0</v>
      </c>
      <c r="M268">
        <v>0</v>
      </c>
      <c r="N268">
        <v>3</v>
      </c>
      <c r="O268" s="1" t="s">
        <v>32</v>
      </c>
      <c r="P268">
        <v>3</v>
      </c>
      <c r="Q268">
        <v>1</v>
      </c>
      <c r="R268">
        <v>0</v>
      </c>
      <c r="S268">
        <v>3</v>
      </c>
      <c r="T268">
        <v>0</v>
      </c>
      <c r="U268">
        <f>IF(openpolis_patrimoni_trasparenti_anno_2014[[#This Row],[totale_730_dichiarante]]&lt;&gt;0,LOG10(openpolis_patrimoni_trasparenti_anno_2014[[#This Row],[totale_730_dichiarante]]), 0)</f>
        <v>5.1134887756441874</v>
      </c>
    </row>
    <row r="269" spans="1:21" x14ac:dyDescent="0.3">
      <c r="A269">
        <v>685969</v>
      </c>
      <c r="B269" s="1" t="s">
        <v>559</v>
      </c>
      <c r="C269" s="1" t="s">
        <v>560</v>
      </c>
      <c r="D269" s="2">
        <v>14889</v>
      </c>
      <c r="E269" s="1" t="s">
        <v>35</v>
      </c>
      <c r="F269" s="1" t="s">
        <v>30</v>
      </c>
      <c r="G269" s="1" t="s">
        <v>25</v>
      </c>
      <c r="H269" s="1" t="s">
        <v>68</v>
      </c>
      <c r="I269" s="1" t="s">
        <v>72</v>
      </c>
      <c r="J269">
        <v>2952318</v>
      </c>
      <c r="K269">
        <v>0</v>
      </c>
      <c r="L269">
        <v>0</v>
      </c>
      <c r="M269">
        <v>0</v>
      </c>
      <c r="N269">
        <v>3</v>
      </c>
      <c r="O269" s="1" t="s">
        <v>32</v>
      </c>
      <c r="P269">
        <v>1</v>
      </c>
      <c r="Q269">
        <v>0</v>
      </c>
      <c r="R269">
        <v>9</v>
      </c>
      <c r="S269">
        <v>7</v>
      </c>
      <c r="T269">
        <v>5</v>
      </c>
      <c r="U269">
        <f>IF(openpolis_patrimoni_trasparenti_anno_2014[[#This Row],[totale_730_dichiarante]]&lt;&gt;0,LOG10(openpolis_patrimoni_trasparenti_anno_2014[[#This Row],[totale_730_dichiarante]]), 0)</f>
        <v>6.4701631343864925</v>
      </c>
    </row>
    <row r="270" spans="1:21" x14ac:dyDescent="0.3">
      <c r="A270">
        <v>686203</v>
      </c>
      <c r="B270" s="1" t="s">
        <v>457</v>
      </c>
      <c r="C270" s="1" t="s">
        <v>561</v>
      </c>
      <c r="D270" s="2">
        <v>19874</v>
      </c>
      <c r="E270" s="1" t="s">
        <v>86</v>
      </c>
      <c r="F270" s="1" t="s">
        <v>30</v>
      </c>
      <c r="G270" s="1" t="s">
        <v>24</v>
      </c>
      <c r="H270" s="1" t="s">
        <v>24</v>
      </c>
      <c r="I270" s="1" t="s">
        <v>111</v>
      </c>
      <c r="J270">
        <v>82864</v>
      </c>
      <c r="K270">
        <v>15469</v>
      </c>
      <c r="L270">
        <v>0</v>
      </c>
      <c r="M270">
        <v>0</v>
      </c>
      <c r="N270">
        <v>3</v>
      </c>
      <c r="O270" s="1" t="s">
        <v>32</v>
      </c>
      <c r="P270">
        <v>0</v>
      </c>
      <c r="Q270">
        <v>0</v>
      </c>
      <c r="R270">
        <v>1</v>
      </c>
      <c r="S270">
        <v>0</v>
      </c>
      <c r="T270">
        <v>0</v>
      </c>
      <c r="U270">
        <f>IF(openpolis_patrimoni_trasparenti_anno_2014[[#This Row],[totale_730_dichiarante]]&lt;&gt;0,LOG10(openpolis_patrimoni_trasparenti_anno_2014[[#This Row],[totale_730_dichiarante]]), 0)</f>
        <v>4.918365893673819</v>
      </c>
    </row>
    <row r="271" spans="1:21" x14ac:dyDescent="0.3">
      <c r="A271">
        <v>686927</v>
      </c>
      <c r="B271" s="1" t="s">
        <v>179</v>
      </c>
      <c r="C271" s="1" t="s">
        <v>562</v>
      </c>
      <c r="D271" s="2">
        <v>26678</v>
      </c>
      <c r="E271" s="1" t="s">
        <v>49</v>
      </c>
      <c r="F271" s="1" t="s">
        <v>67</v>
      </c>
      <c r="G271" s="1" t="s">
        <v>102</v>
      </c>
      <c r="H271" s="1" t="s">
        <v>279</v>
      </c>
      <c r="I271" s="1" t="s">
        <v>191</v>
      </c>
      <c r="J271">
        <v>91953</v>
      </c>
      <c r="K271">
        <v>0</v>
      </c>
      <c r="L271">
        <v>0</v>
      </c>
      <c r="M271">
        <v>0</v>
      </c>
      <c r="N271">
        <v>2</v>
      </c>
      <c r="O271" s="1" t="s">
        <v>43</v>
      </c>
      <c r="P271">
        <v>1</v>
      </c>
      <c r="Q271">
        <v>0</v>
      </c>
      <c r="R271">
        <v>2</v>
      </c>
      <c r="S271">
        <v>0</v>
      </c>
      <c r="T271">
        <v>0</v>
      </c>
      <c r="U271">
        <f>IF(openpolis_patrimoni_trasparenti_anno_2014[[#This Row],[totale_730_dichiarante]]&lt;&gt;0,LOG10(openpolis_patrimoni_trasparenti_anno_2014[[#This Row],[totale_730_dichiarante]]), 0)</f>
        <v>4.9635659028203385</v>
      </c>
    </row>
    <row r="272" spans="1:21" x14ac:dyDescent="0.3">
      <c r="A272">
        <v>333065</v>
      </c>
      <c r="B272" s="1" t="s">
        <v>192</v>
      </c>
      <c r="C272" s="1" t="s">
        <v>563</v>
      </c>
      <c r="D272" s="2">
        <v>20426</v>
      </c>
      <c r="E272" s="1" t="s">
        <v>101</v>
      </c>
      <c r="F272" s="1" t="s">
        <v>67</v>
      </c>
      <c r="G272" s="1" t="s">
        <v>36</v>
      </c>
      <c r="H272" s="1" t="s">
        <v>93</v>
      </c>
      <c r="I272" s="1" t="s">
        <v>115</v>
      </c>
      <c r="J272">
        <v>213794</v>
      </c>
      <c r="K272">
        <v>0</v>
      </c>
      <c r="L272">
        <v>0</v>
      </c>
      <c r="M272">
        <v>0</v>
      </c>
      <c r="N272">
        <v>3</v>
      </c>
      <c r="O272" s="1" t="s">
        <v>32</v>
      </c>
      <c r="P272">
        <v>8</v>
      </c>
      <c r="Q272">
        <v>0</v>
      </c>
      <c r="R272">
        <v>3</v>
      </c>
      <c r="S272">
        <v>2</v>
      </c>
      <c r="T272">
        <v>1</v>
      </c>
      <c r="U272">
        <f>IF(openpolis_patrimoni_trasparenti_anno_2014[[#This Row],[totale_730_dichiarante]]&lt;&gt;0,LOG10(openpolis_patrimoni_trasparenti_anno_2014[[#This Row],[totale_730_dichiarante]]), 0)</f>
        <v>5.3299955128304033</v>
      </c>
    </row>
    <row r="273" spans="1:21" x14ac:dyDescent="0.3">
      <c r="A273">
        <v>1537</v>
      </c>
      <c r="B273" s="1" t="s">
        <v>217</v>
      </c>
      <c r="C273" s="1" t="s">
        <v>564</v>
      </c>
      <c r="D273" s="2">
        <v>18987</v>
      </c>
      <c r="E273" s="1" t="s">
        <v>35</v>
      </c>
      <c r="F273" s="1" t="s">
        <v>67</v>
      </c>
      <c r="G273" s="1" t="s">
        <v>36</v>
      </c>
      <c r="H273" s="1" t="s">
        <v>37</v>
      </c>
      <c r="I273" s="1" t="s">
        <v>345</v>
      </c>
      <c r="J273">
        <v>172649</v>
      </c>
      <c r="K273">
        <v>0</v>
      </c>
      <c r="L273">
        <v>0</v>
      </c>
      <c r="M273">
        <v>0</v>
      </c>
      <c r="N273">
        <v>3</v>
      </c>
      <c r="O273" s="1" t="s">
        <v>32</v>
      </c>
      <c r="P273">
        <v>14</v>
      </c>
      <c r="Q273">
        <v>7</v>
      </c>
      <c r="R273">
        <v>2</v>
      </c>
      <c r="S273">
        <v>7</v>
      </c>
      <c r="T273">
        <v>1</v>
      </c>
      <c r="U273">
        <f>IF(openpolis_patrimoni_trasparenti_anno_2014[[#This Row],[totale_730_dichiarante]]&lt;&gt;0,LOG10(openpolis_patrimoni_trasparenti_anno_2014[[#This Row],[totale_730_dichiarante]]), 0)</f>
        <v>5.2371640672163755</v>
      </c>
    </row>
    <row r="274" spans="1:21" x14ac:dyDescent="0.3">
      <c r="A274">
        <v>169054</v>
      </c>
      <c r="B274" s="1" t="s">
        <v>565</v>
      </c>
      <c r="C274" s="1" t="s">
        <v>566</v>
      </c>
      <c r="D274" s="2">
        <v>23152</v>
      </c>
      <c r="E274" s="1" t="s">
        <v>29</v>
      </c>
      <c r="F274" s="1" t="s">
        <v>67</v>
      </c>
      <c r="G274" s="1" t="s">
        <v>24</v>
      </c>
      <c r="H274" s="1" t="s">
        <v>24</v>
      </c>
      <c r="I274" s="1" t="s">
        <v>271</v>
      </c>
      <c r="J274">
        <v>85122</v>
      </c>
      <c r="K274">
        <v>0</v>
      </c>
      <c r="L274">
        <v>0</v>
      </c>
      <c r="M274">
        <v>0</v>
      </c>
      <c r="N274">
        <v>3</v>
      </c>
      <c r="O274" s="1" t="s">
        <v>32</v>
      </c>
      <c r="P274">
        <v>0</v>
      </c>
      <c r="Q274">
        <v>0</v>
      </c>
      <c r="R274">
        <v>1</v>
      </c>
      <c r="S274">
        <v>0</v>
      </c>
      <c r="T274">
        <v>0</v>
      </c>
      <c r="U274">
        <f>IF(openpolis_patrimoni_trasparenti_anno_2014[[#This Row],[totale_730_dichiarante]]&lt;&gt;0,LOG10(openpolis_patrimoni_trasparenti_anno_2014[[#This Row],[totale_730_dichiarante]]), 0)</f>
        <v>4.9300418191187321</v>
      </c>
    </row>
    <row r="275" spans="1:21" x14ac:dyDescent="0.3">
      <c r="A275">
        <v>79111</v>
      </c>
      <c r="B275" s="1" t="s">
        <v>355</v>
      </c>
      <c r="C275" s="1" t="s">
        <v>567</v>
      </c>
      <c r="D275" s="2">
        <v>23470</v>
      </c>
      <c r="E275" s="1" t="s">
        <v>49</v>
      </c>
      <c r="F275" s="1" t="s">
        <v>67</v>
      </c>
      <c r="G275" s="1" t="s">
        <v>24</v>
      </c>
      <c r="H275" s="1" t="s">
        <v>24</v>
      </c>
      <c r="I275" s="1" t="s">
        <v>286</v>
      </c>
      <c r="J275">
        <v>93696</v>
      </c>
      <c r="K275">
        <v>31794</v>
      </c>
      <c r="L275">
        <v>0</v>
      </c>
      <c r="M275">
        <v>0</v>
      </c>
      <c r="N275">
        <v>3</v>
      </c>
      <c r="O275" s="1" t="s">
        <v>32</v>
      </c>
      <c r="P275">
        <v>4</v>
      </c>
      <c r="Q275">
        <v>0</v>
      </c>
      <c r="R275">
        <v>3</v>
      </c>
      <c r="S275">
        <v>3</v>
      </c>
      <c r="T275">
        <v>0</v>
      </c>
      <c r="U275">
        <f>IF(openpolis_patrimoni_trasparenti_anno_2014[[#This Row],[totale_730_dichiarante]]&lt;&gt;0,LOG10(openpolis_patrimoni_trasparenti_anno_2014[[#This Row],[totale_730_dichiarante]]), 0)</f>
        <v>4.9717210507062601</v>
      </c>
    </row>
    <row r="276" spans="1:21" x14ac:dyDescent="0.3">
      <c r="A276">
        <v>364038</v>
      </c>
      <c r="B276" s="1" t="s">
        <v>568</v>
      </c>
      <c r="C276" s="1" t="s">
        <v>569</v>
      </c>
      <c r="D276" s="2">
        <v>21031</v>
      </c>
      <c r="E276" s="1" t="s">
        <v>41</v>
      </c>
      <c r="F276" s="1" t="s">
        <v>67</v>
      </c>
      <c r="G276" s="1" t="s">
        <v>24</v>
      </c>
      <c r="H276" s="1" t="s">
        <v>24</v>
      </c>
      <c r="I276" s="1" t="s">
        <v>89</v>
      </c>
      <c r="J276">
        <v>194695</v>
      </c>
      <c r="K276">
        <v>0</v>
      </c>
      <c r="L276">
        <v>0</v>
      </c>
      <c r="M276">
        <v>0</v>
      </c>
      <c r="N276">
        <v>3</v>
      </c>
      <c r="O276" s="1" t="s">
        <v>32</v>
      </c>
      <c r="P276">
        <v>4</v>
      </c>
      <c r="Q276">
        <v>1</v>
      </c>
      <c r="R276">
        <v>3</v>
      </c>
      <c r="S276">
        <v>0</v>
      </c>
      <c r="T276">
        <v>0</v>
      </c>
      <c r="U276">
        <f>IF(openpolis_patrimoni_trasparenti_anno_2014[[#This Row],[totale_730_dichiarante]]&lt;&gt;0,LOG10(openpolis_patrimoni_trasparenti_anno_2014[[#This Row],[totale_730_dichiarante]]), 0)</f>
        <v>5.2893547984625471</v>
      </c>
    </row>
    <row r="277" spans="1:21" x14ac:dyDescent="0.3">
      <c r="A277">
        <v>8643</v>
      </c>
      <c r="B277" s="1" t="s">
        <v>570</v>
      </c>
      <c r="C277" s="1" t="s">
        <v>571</v>
      </c>
      <c r="D277" s="2">
        <v>22847</v>
      </c>
      <c r="E277" s="1" t="s">
        <v>140</v>
      </c>
      <c r="F277" s="1" t="s">
        <v>67</v>
      </c>
      <c r="G277" s="1" t="s">
        <v>53</v>
      </c>
      <c r="H277" s="1" t="s">
        <v>53</v>
      </c>
      <c r="I277" s="1" t="s">
        <v>271</v>
      </c>
      <c r="J277">
        <v>101325</v>
      </c>
      <c r="K277">
        <v>0</v>
      </c>
      <c r="L277">
        <v>0</v>
      </c>
      <c r="M277">
        <v>0</v>
      </c>
      <c r="N277">
        <v>3</v>
      </c>
      <c r="O277" s="1" t="s">
        <v>32</v>
      </c>
      <c r="P277">
        <v>2</v>
      </c>
      <c r="Q277">
        <v>3</v>
      </c>
      <c r="R277">
        <v>0</v>
      </c>
      <c r="S277">
        <v>1</v>
      </c>
      <c r="T277">
        <v>0</v>
      </c>
      <c r="U277">
        <f>IF(openpolis_patrimoni_trasparenti_anno_2014[[#This Row],[totale_730_dichiarante]]&lt;&gt;0,LOG10(openpolis_patrimoni_trasparenti_anno_2014[[#This Row],[totale_730_dichiarante]]), 0)</f>
        <v>5.0057166124137309</v>
      </c>
    </row>
    <row r="278" spans="1:21" x14ac:dyDescent="0.3">
      <c r="A278">
        <v>494710</v>
      </c>
      <c r="B278" s="1" t="s">
        <v>572</v>
      </c>
      <c r="C278" s="1" t="s">
        <v>226</v>
      </c>
      <c r="D278" s="2">
        <v>26415</v>
      </c>
      <c r="E278" s="1" t="s">
        <v>49</v>
      </c>
      <c r="F278" s="1" t="s">
        <v>67</v>
      </c>
      <c r="G278" s="1" t="s">
        <v>102</v>
      </c>
      <c r="H278" s="1" t="s">
        <v>102</v>
      </c>
      <c r="I278" s="1" t="s">
        <v>271</v>
      </c>
      <c r="J278">
        <v>87549</v>
      </c>
      <c r="K278">
        <v>12241</v>
      </c>
      <c r="L278">
        <v>0</v>
      </c>
      <c r="M278">
        <v>0</v>
      </c>
      <c r="N278">
        <v>1</v>
      </c>
      <c r="O278" s="1" t="s">
        <v>209</v>
      </c>
      <c r="P278">
        <v>0</v>
      </c>
      <c r="Q278">
        <v>0</v>
      </c>
      <c r="R278">
        <v>1</v>
      </c>
      <c r="S278">
        <v>0</v>
      </c>
      <c r="T278">
        <v>0</v>
      </c>
      <c r="U278">
        <f>IF(openpolis_patrimoni_trasparenti_anno_2014[[#This Row],[totale_730_dichiarante]]&lt;&gt;0,LOG10(openpolis_patrimoni_trasparenti_anno_2014[[#This Row],[totale_730_dichiarante]]), 0)</f>
        <v>4.9422511898602171</v>
      </c>
    </row>
    <row r="279" spans="1:21" x14ac:dyDescent="0.3">
      <c r="A279">
        <v>687156</v>
      </c>
      <c r="B279" s="1" t="s">
        <v>51</v>
      </c>
      <c r="C279" s="1" t="s">
        <v>573</v>
      </c>
      <c r="D279" s="2">
        <v>22391</v>
      </c>
      <c r="E279" s="1" t="s">
        <v>29</v>
      </c>
      <c r="F279" s="1" t="s">
        <v>67</v>
      </c>
      <c r="G279" s="1" t="s">
        <v>102</v>
      </c>
      <c r="H279" s="1" t="s">
        <v>102</v>
      </c>
      <c r="I279" s="1" t="s">
        <v>89</v>
      </c>
      <c r="J279">
        <v>91221</v>
      </c>
      <c r="K279">
        <v>0</v>
      </c>
      <c r="L279">
        <v>0</v>
      </c>
      <c r="M279">
        <v>0</v>
      </c>
      <c r="N279">
        <v>2</v>
      </c>
      <c r="O279" s="1" t="s">
        <v>43</v>
      </c>
      <c r="P279">
        <v>10</v>
      </c>
      <c r="Q279">
        <v>0</v>
      </c>
      <c r="R279">
        <v>1</v>
      </c>
      <c r="S279">
        <v>0</v>
      </c>
      <c r="T279">
        <v>0</v>
      </c>
      <c r="U279">
        <f>IF(openpolis_patrimoni_trasparenti_anno_2014[[#This Row],[totale_730_dichiarante]]&lt;&gt;0,LOG10(openpolis_patrimoni_trasparenti_anno_2014[[#This Row],[totale_730_dichiarante]]), 0)</f>
        <v>4.9600948288356523</v>
      </c>
    </row>
    <row r="280" spans="1:21" x14ac:dyDescent="0.3">
      <c r="A280">
        <v>30950</v>
      </c>
      <c r="B280" s="1" t="s">
        <v>44</v>
      </c>
      <c r="C280" s="1" t="s">
        <v>574</v>
      </c>
      <c r="D280" s="2">
        <v>17510</v>
      </c>
      <c r="E280" s="1" t="s">
        <v>29</v>
      </c>
      <c r="F280" s="1" t="s">
        <v>67</v>
      </c>
      <c r="G280" s="1" t="s">
        <v>24</v>
      </c>
      <c r="H280" s="1" t="s">
        <v>24</v>
      </c>
      <c r="I280" s="1" t="s">
        <v>271</v>
      </c>
      <c r="J280">
        <v>148279</v>
      </c>
      <c r="K280">
        <v>0</v>
      </c>
      <c r="L280">
        <v>0</v>
      </c>
      <c r="M280">
        <v>0</v>
      </c>
      <c r="N280">
        <v>2</v>
      </c>
      <c r="O280" s="1" t="s">
        <v>43</v>
      </c>
      <c r="P280">
        <v>8</v>
      </c>
      <c r="Q280">
        <v>0</v>
      </c>
      <c r="R280">
        <v>2</v>
      </c>
      <c r="S280">
        <v>0</v>
      </c>
      <c r="T280">
        <v>0</v>
      </c>
      <c r="U280">
        <f>IF(openpolis_patrimoni_trasparenti_anno_2014[[#This Row],[totale_730_dichiarante]]&lt;&gt;0,LOG10(openpolis_patrimoni_trasparenti_anno_2014[[#This Row],[totale_730_dichiarante]]), 0)</f>
        <v>5.1710796484666011</v>
      </c>
    </row>
    <row r="281" spans="1:21" x14ac:dyDescent="0.3">
      <c r="A281">
        <v>166183</v>
      </c>
      <c r="B281" s="1" t="s">
        <v>162</v>
      </c>
      <c r="C281" s="1" t="s">
        <v>575</v>
      </c>
      <c r="D281" s="2">
        <v>19138</v>
      </c>
      <c r="E281" s="1" t="s">
        <v>29</v>
      </c>
      <c r="F281" s="1" t="s">
        <v>67</v>
      </c>
      <c r="G281" s="1" t="s">
        <v>36</v>
      </c>
      <c r="H281" s="1" t="s">
        <v>168</v>
      </c>
      <c r="I281" s="1" t="s">
        <v>94</v>
      </c>
      <c r="J281">
        <v>88405</v>
      </c>
      <c r="K281">
        <v>15090</v>
      </c>
      <c r="L281">
        <v>0</v>
      </c>
      <c r="M281">
        <v>0</v>
      </c>
      <c r="N281">
        <v>3</v>
      </c>
      <c r="O281" s="1" t="s">
        <v>32</v>
      </c>
      <c r="P281">
        <v>1</v>
      </c>
      <c r="Q281">
        <v>0</v>
      </c>
      <c r="R281">
        <v>1</v>
      </c>
      <c r="S281">
        <v>7</v>
      </c>
      <c r="T281">
        <v>0</v>
      </c>
      <c r="U281">
        <f>IF(openpolis_patrimoni_trasparenti_anno_2014[[#This Row],[totale_730_dichiarante]]&lt;&gt;0,LOG10(openpolis_patrimoni_trasparenti_anno_2014[[#This Row],[totale_730_dichiarante]]), 0)</f>
        <v>4.9464768284859399</v>
      </c>
    </row>
    <row r="282" spans="1:21" x14ac:dyDescent="0.3">
      <c r="A282">
        <v>315</v>
      </c>
      <c r="B282" s="1" t="s">
        <v>294</v>
      </c>
      <c r="C282" s="1" t="s">
        <v>576</v>
      </c>
      <c r="D282" s="2">
        <v>17477</v>
      </c>
      <c r="E282" s="1" t="s">
        <v>35</v>
      </c>
      <c r="F282" s="1" t="s">
        <v>67</v>
      </c>
      <c r="G282" s="1" t="s">
        <v>36</v>
      </c>
      <c r="H282" s="1" t="s">
        <v>298</v>
      </c>
      <c r="I282" s="1" t="s">
        <v>271</v>
      </c>
      <c r="J282">
        <v>86409</v>
      </c>
      <c r="K282">
        <v>0</v>
      </c>
      <c r="L282">
        <v>0</v>
      </c>
      <c r="M282">
        <v>0</v>
      </c>
      <c r="N282">
        <v>3</v>
      </c>
      <c r="O282" s="1" t="s">
        <v>32</v>
      </c>
      <c r="P282">
        <v>1</v>
      </c>
      <c r="Q282">
        <v>0</v>
      </c>
      <c r="R282">
        <v>2</v>
      </c>
      <c r="S282">
        <v>8</v>
      </c>
      <c r="T282">
        <v>2</v>
      </c>
      <c r="U282">
        <f>IF(openpolis_patrimoni_trasparenti_anno_2014[[#This Row],[totale_730_dichiarante]]&lt;&gt;0,LOG10(openpolis_patrimoni_trasparenti_anno_2014[[#This Row],[totale_730_dichiarante]]), 0)</f>
        <v>4.93655897913139</v>
      </c>
    </row>
    <row r="283" spans="1:21" x14ac:dyDescent="0.3">
      <c r="A283">
        <v>25231</v>
      </c>
      <c r="B283" s="1" t="s">
        <v>577</v>
      </c>
      <c r="C283" s="1" t="s">
        <v>578</v>
      </c>
      <c r="D283" s="2">
        <v>23705</v>
      </c>
      <c r="E283" s="1" t="s">
        <v>429</v>
      </c>
      <c r="F283" s="1" t="s">
        <v>67</v>
      </c>
      <c r="G283" s="1" t="s">
        <v>53</v>
      </c>
      <c r="H283" s="1" t="s">
        <v>53</v>
      </c>
      <c r="I283" s="1" t="s">
        <v>271</v>
      </c>
      <c r="J283">
        <v>93435</v>
      </c>
      <c r="K283">
        <v>14858</v>
      </c>
      <c r="L283">
        <v>0</v>
      </c>
      <c r="M283">
        <v>0</v>
      </c>
      <c r="N283">
        <v>1</v>
      </c>
      <c r="O283" s="1" t="s">
        <v>209</v>
      </c>
      <c r="P283">
        <v>15</v>
      </c>
      <c r="Q283">
        <v>0</v>
      </c>
      <c r="R283">
        <v>3</v>
      </c>
      <c r="S283">
        <v>0</v>
      </c>
      <c r="T283">
        <v>1</v>
      </c>
      <c r="U283">
        <f>IF(openpolis_patrimoni_trasparenti_anno_2014[[#This Row],[totale_730_dichiarante]]&lt;&gt;0,LOG10(openpolis_patrimoni_trasparenti_anno_2014[[#This Row],[totale_730_dichiarante]]), 0)</f>
        <v>4.9705095899298222</v>
      </c>
    </row>
    <row r="284" spans="1:21" x14ac:dyDescent="0.3">
      <c r="A284">
        <v>288304</v>
      </c>
      <c r="B284" s="1" t="s">
        <v>84</v>
      </c>
      <c r="C284" s="1" t="s">
        <v>579</v>
      </c>
      <c r="D284" s="2">
        <v>20885</v>
      </c>
      <c r="E284" s="1" t="s">
        <v>75</v>
      </c>
      <c r="F284" s="1" t="s">
        <v>67</v>
      </c>
      <c r="G284" s="1" t="s">
        <v>36</v>
      </c>
      <c r="H284" s="1" t="s">
        <v>298</v>
      </c>
      <c r="I284" s="1" t="s">
        <v>286</v>
      </c>
      <c r="J284">
        <v>123633</v>
      </c>
      <c r="K284">
        <v>0</v>
      </c>
      <c r="L284">
        <v>0</v>
      </c>
      <c r="M284">
        <v>0</v>
      </c>
      <c r="N284">
        <v>3</v>
      </c>
      <c r="O284" s="1" t="s">
        <v>32</v>
      </c>
      <c r="P284">
        <v>7</v>
      </c>
      <c r="Q284">
        <v>4</v>
      </c>
      <c r="R284">
        <v>2</v>
      </c>
      <c r="S284">
        <v>0</v>
      </c>
      <c r="T284">
        <v>0</v>
      </c>
      <c r="U284">
        <f>IF(openpolis_patrimoni_trasparenti_anno_2014[[#This Row],[totale_730_dichiarante]]&lt;&gt;0,LOG10(openpolis_patrimoni_trasparenti_anno_2014[[#This Row],[totale_730_dichiarante]]), 0)</f>
        <v>5.092134407686685</v>
      </c>
    </row>
    <row r="285" spans="1:21" x14ac:dyDescent="0.3">
      <c r="A285">
        <v>333052</v>
      </c>
      <c r="B285" s="1" t="s">
        <v>192</v>
      </c>
      <c r="C285" s="1" t="s">
        <v>580</v>
      </c>
      <c r="D285" s="2">
        <v>17861</v>
      </c>
      <c r="E285" s="1" t="s">
        <v>29</v>
      </c>
      <c r="F285" s="1" t="s">
        <v>67</v>
      </c>
      <c r="G285" s="1" t="s">
        <v>36</v>
      </c>
      <c r="H285" s="1" t="s">
        <v>314</v>
      </c>
      <c r="I285" s="1" t="s">
        <v>286</v>
      </c>
      <c r="J285">
        <v>140661</v>
      </c>
      <c r="K285">
        <v>0</v>
      </c>
      <c r="L285">
        <v>0</v>
      </c>
      <c r="M285">
        <v>0</v>
      </c>
      <c r="N285">
        <v>3</v>
      </c>
      <c r="O285" s="1" t="s">
        <v>32</v>
      </c>
      <c r="P285">
        <v>6</v>
      </c>
      <c r="Q285">
        <v>0</v>
      </c>
      <c r="R285">
        <v>0</v>
      </c>
      <c r="S285">
        <v>0</v>
      </c>
      <c r="T285">
        <v>0</v>
      </c>
      <c r="U285">
        <f>IF(openpolis_patrimoni_trasparenti_anno_2014[[#This Row],[totale_730_dichiarante]]&lt;&gt;0,LOG10(openpolis_patrimoni_trasparenti_anno_2014[[#This Row],[totale_730_dichiarante]]), 0)</f>
        <v>5.1481737006142714</v>
      </c>
    </row>
    <row r="286" spans="1:21" x14ac:dyDescent="0.3">
      <c r="A286">
        <v>308</v>
      </c>
      <c r="B286" s="1" t="s">
        <v>242</v>
      </c>
      <c r="C286" s="1" t="s">
        <v>581</v>
      </c>
      <c r="D286" s="2">
        <v>11733</v>
      </c>
      <c r="E286" s="1" t="s">
        <v>35</v>
      </c>
      <c r="F286" s="1" t="s">
        <v>67</v>
      </c>
      <c r="G286" s="1" t="s">
        <v>36</v>
      </c>
      <c r="H286" s="1" t="s">
        <v>168</v>
      </c>
      <c r="I286" s="1" t="s">
        <v>271</v>
      </c>
      <c r="J286">
        <v>107684</v>
      </c>
      <c r="K286">
        <v>0</v>
      </c>
      <c r="L286">
        <v>0</v>
      </c>
      <c r="M286">
        <v>0</v>
      </c>
      <c r="N286">
        <v>3</v>
      </c>
      <c r="O286" s="1" t="s">
        <v>32</v>
      </c>
      <c r="P286">
        <v>5</v>
      </c>
      <c r="Q286">
        <v>0</v>
      </c>
      <c r="R286">
        <v>0</v>
      </c>
      <c r="S286">
        <v>0</v>
      </c>
      <c r="T286">
        <v>0</v>
      </c>
      <c r="U286">
        <f>IF(openpolis_patrimoni_trasparenti_anno_2014[[#This Row],[totale_730_dichiarante]]&lt;&gt;0,LOG10(openpolis_patrimoni_trasparenti_anno_2014[[#This Row],[totale_730_dichiarante]]), 0)</f>
        <v>5.0321511793619118</v>
      </c>
    </row>
    <row r="287" spans="1:21" x14ac:dyDescent="0.3">
      <c r="A287">
        <v>125684</v>
      </c>
      <c r="B287" s="1" t="s">
        <v>582</v>
      </c>
      <c r="C287" s="1" t="s">
        <v>583</v>
      </c>
      <c r="D287" s="2">
        <v>23057</v>
      </c>
      <c r="E287" s="1" t="s">
        <v>136</v>
      </c>
      <c r="F287" s="1" t="s">
        <v>67</v>
      </c>
      <c r="G287" s="1" t="s">
        <v>24</v>
      </c>
      <c r="H287" s="1" t="s">
        <v>24</v>
      </c>
      <c r="I287" s="1" t="s">
        <v>291</v>
      </c>
      <c r="J287">
        <v>94097</v>
      </c>
      <c r="K287">
        <v>161743</v>
      </c>
      <c r="L287">
        <v>0</v>
      </c>
      <c r="M287">
        <v>0</v>
      </c>
      <c r="N287">
        <v>3</v>
      </c>
      <c r="O287" s="1" t="s">
        <v>32</v>
      </c>
      <c r="P287">
        <v>1</v>
      </c>
      <c r="Q287">
        <v>1</v>
      </c>
      <c r="R287">
        <v>2</v>
      </c>
      <c r="S287">
        <v>2</v>
      </c>
      <c r="T287">
        <v>1</v>
      </c>
      <c r="U287">
        <f>IF(openpolis_patrimoni_trasparenti_anno_2014[[#This Row],[totale_730_dichiarante]]&lt;&gt;0,LOG10(openpolis_patrimoni_trasparenti_anno_2014[[#This Row],[totale_730_dichiarante]]), 0)</f>
        <v>4.9735757774738589</v>
      </c>
    </row>
    <row r="288" spans="1:21" x14ac:dyDescent="0.3">
      <c r="A288">
        <v>685955</v>
      </c>
      <c r="B288" s="1" t="s">
        <v>265</v>
      </c>
      <c r="C288" s="1" t="s">
        <v>584</v>
      </c>
      <c r="D288" s="2">
        <v>22681</v>
      </c>
      <c r="E288" s="1" t="s">
        <v>146</v>
      </c>
      <c r="F288" s="1" t="s">
        <v>67</v>
      </c>
      <c r="G288" s="1" t="s">
        <v>102</v>
      </c>
      <c r="H288" s="1" t="s">
        <v>102</v>
      </c>
      <c r="I288" s="1" t="s">
        <v>286</v>
      </c>
      <c r="J288">
        <v>183365</v>
      </c>
      <c r="K288">
        <v>0</v>
      </c>
      <c r="L288">
        <v>0</v>
      </c>
      <c r="M288">
        <v>0</v>
      </c>
      <c r="N288">
        <v>3</v>
      </c>
      <c r="O288" s="1" t="s">
        <v>32</v>
      </c>
      <c r="P288">
        <v>5</v>
      </c>
      <c r="Q288">
        <v>3</v>
      </c>
      <c r="R288">
        <v>0</v>
      </c>
      <c r="S288">
        <v>0</v>
      </c>
      <c r="T288">
        <v>0</v>
      </c>
      <c r="U288">
        <f>IF(openpolis_patrimoni_trasparenti_anno_2014[[#This Row],[totale_730_dichiarante]]&lt;&gt;0,LOG10(openpolis_patrimoni_trasparenti_anno_2014[[#This Row],[totale_730_dichiarante]]), 0)</f>
        <v>5.2633164427982218</v>
      </c>
    </row>
    <row r="289" spans="1:21" x14ac:dyDescent="0.3">
      <c r="A289">
        <v>687088</v>
      </c>
      <c r="B289" s="1" t="s">
        <v>148</v>
      </c>
      <c r="C289" s="1" t="s">
        <v>585</v>
      </c>
      <c r="D289" s="2">
        <v>26331</v>
      </c>
      <c r="E289" s="1" t="s">
        <v>49</v>
      </c>
      <c r="F289" s="1" t="s">
        <v>67</v>
      </c>
      <c r="G289" s="1" t="s">
        <v>102</v>
      </c>
      <c r="H289" s="1" t="s">
        <v>102</v>
      </c>
      <c r="I289" s="1" t="s">
        <v>115</v>
      </c>
      <c r="J289">
        <v>84837</v>
      </c>
      <c r="K289">
        <v>0</v>
      </c>
      <c r="L289">
        <v>0</v>
      </c>
      <c r="M289">
        <v>0</v>
      </c>
      <c r="N289">
        <v>3</v>
      </c>
      <c r="O289" s="1" t="s">
        <v>32</v>
      </c>
      <c r="P289">
        <v>1</v>
      </c>
      <c r="Q289">
        <v>0</v>
      </c>
      <c r="R289">
        <v>1</v>
      </c>
      <c r="S289">
        <v>0</v>
      </c>
      <c r="T289">
        <v>0</v>
      </c>
      <c r="U289">
        <f>IF(openpolis_patrimoni_trasparenti_anno_2014[[#This Row],[totale_730_dichiarante]]&lt;&gt;0,LOG10(openpolis_patrimoni_trasparenti_anno_2014[[#This Row],[totale_730_dichiarante]]), 0)</f>
        <v>4.9285853026252679</v>
      </c>
    </row>
    <row r="290" spans="1:21" x14ac:dyDescent="0.3">
      <c r="A290">
        <v>388569</v>
      </c>
      <c r="B290" s="1" t="s">
        <v>257</v>
      </c>
      <c r="C290" s="1" t="s">
        <v>586</v>
      </c>
      <c r="D290" s="2">
        <v>25836</v>
      </c>
      <c r="E290" s="1" t="s">
        <v>35</v>
      </c>
      <c r="F290" s="1" t="s">
        <v>67</v>
      </c>
      <c r="G290" s="1" t="s">
        <v>36</v>
      </c>
      <c r="H290" s="1" t="s">
        <v>168</v>
      </c>
      <c r="I290" s="1" t="s">
        <v>76</v>
      </c>
      <c r="J290">
        <v>108831</v>
      </c>
      <c r="K290">
        <v>0</v>
      </c>
      <c r="L290">
        <v>0</v>
      </c>
      <c r="M290">
        <v>0</v>
      </c>
      <c r="N290">
        <v>3</v>
      </c>
      <c r="O290" s="1" t="s">
        <v>32</v>
      </c>
      <c r="P290">
        <v>8</v>
      </c>
      <c r="Q290">
        <v>0</v>
      </c>
      <c r="R290">
        <v>2</v>
      </c>
      <c r="S290">
        <v>0</v>
      </c>
      <c r="T290">
        <v>0</v>
      </c>
      <c r="U290">
        <f>IF(openpolis_patrimoni_trasparenti_anno_2014[[#This Row],[totale_730_dichiarante]]&lt;&gt;0,LOG10(openpolis_patrimoni_trasparenti_anno_2014[[#This Row],[totale_730_dichiarante]]), 0)</f>
        <v>5.0367526197307484</v>
      </c>
    </row>
    <row r="291" spans="1:21" x14ac:dyDescent="0.3">
      <c r="A291">
        <v>296</v>
      </c>
      <c r="B291" s="1" t="s">
        <v>587</v>
      </c>
      <c r="C291" s="1" t="s">
        <v>588</v>
      </c>
      <c r="D291" s="2">
        <v>17527</v>
      </c>
      <c r="E291" s="1" t="s">
        <v>22</v>
      </c>
      <c r="F291" s="1" t="s">
        <v>67</v>
      </c>
      <c r="G291" s="1" t="s">
        <v>24</v>
      </c>
      <c r="H291" s="1" t="s">
        <v>24</v>
      </c>
      <c r="I291" s="1" t="s">
        <v>69</v>
      </c>
      <c r="J291">
        <v>113445</v>
      </c>
      <c r="K291">
        <v>94408</v>
      </c>
      <c r="L291">
        <v>0</v>
      </c>
      <c r="M291">
        <v>2327.5</v>
      </c>
      <c r="N291">
        <v>1</v>
      </c>
      <c r="O291" s="1" t="s">
        <v>589</v>
      </c>
      <c r="P291">
        <v>4</v>
      </c>
      <c r="Q291">
        <v>2</v>
      </c>
      <c r="R291">
        <v>1</v>
      </c>
      <c r="S291">
        <v>0</v>
      </c>
      <c r="T291">
        <v>0</v>
      </c>
      <c r="U291">
        <f>IF(openpolis_patrimoni_trasparenti_anno_2014[[#This Row],[totale_730_dichiarante]]&lt;&gt;0,LOG10(openpolis_patrimoni_trasparenti_anno_2014[[#This Row],[totale_730_dichiarante]]), 0)</f>
        <v>5.05478535945179</v>
      </c>
    </row>
    <row r="292" spans="1:21" x14ac:dyDescent="0.3">
      <c r="A292">
        <v>8332</v>
      </c>
      <c r="B292" s="1" t="s">
        <v>415</v>
      </c>
      <c r="C292" s="1" t="s">
        <v>590</v>
      </c>
      <c r="D292" s="2">
        <v>20626</v>
      </c>
      <c r="E292" s="1" t="s">
        <v>49</v>
      </c>
      <c r="F292" s="1" t="s">
        <v>67</v>
      </c>
      <c r="G292" s="1" t="s">
        <v>126</v>
      </c>
      <c r="H292" s="1" t="s">
        <v>54</v>
      </c>
      <c r="I292" s="1" t="s">
        <v>291</v>
      </c>
      <c r="J292">
        <v>88273</v>
      </c>
      <c r="K292">
        <v>0</v>
      </c>
      <c r="L292">
        <v>0</v>
      </c>
      <c r="M292">
        <v>0</v>
      </c>
      <c r="N292">
        <v>2</v>
      </c>
      <c r="O292" s="1" t="s">
        <v>43</v>
      </c>
      <c r="P292">
        <v>3</v>
      </c>
      <c r="Q292">
        <v>0</v>
      </c>
      <c r="R292">
        <v>2</v>
      </c>
      <c r="S292">
        <v>0</v>
      </c>
      <c r="T292">
        <v>0</v>
      </c>
      <c r="U292">
        <f>IF(openpolis_patrimoni_trasparenti_anno_2014[[#This Row],[totale_730_dichiarante]]&lt;&gt;0,LOG10(openpolis_patrimoni_trasparenti_anno_2014[[#This Row],[totale_730_dichiarante]]), 0)</f>
        <v>4.9458278865432224</v>
      </c>
    </row>
    <row r="293" spans="1:21" x14ac:dyDescent="0.3">
      <c r="A293">
        <v>687130</v>
      </c>
      <c r="B293" s="1" t="s">
        <v>591</v>
      </c>
      <c r="C293" s="1" t="s">
        <v>592</v>
      </c>
      <c r="D293" s="2">
        <v>24682</v>
      </c>
      <c r="E293" s="1" t="s">
        <v>49</v>
      </c>
      <c r="F293" s="1" t="s">
        <v>67</v>
      </c>
      <c r="G293" s="1" t="s">
        <v>102</v>
      </c>
      <c r="H293" s="1" t="s">
        <v>102</v>
      </c>
      <c r="I293" s="1" t="s">
        <v>345</v>
      </c>
      <c r="J293">
        <v>102552</v>
      </c>
      <c r="K293">
        <v>0</v>
      </c>
      <c r="L293">
        <v>0</v>
      </c>
      <c r="M293">
        <v>0</v>
      </c>
      <c r="N293">
        <v>3</v>
      </c>
      <c r="O293" s="1" t="s">
        <v>32</v>
      </c>
      <c r="P293">
        <v>1</v>
      </c>
      <c r="Q293">
        <v>0</v>
      </c>
      <c r="R293">
        <v>1</v>
      </c>
      <c r="S293">
        <v>0</v>
      </c>
      <c r="T293">
        <v>0</v>
      </c>
      <c r="U293">
        <f>IF(openpolis_patrimoni_trasparenti_anno_2014[[#This Row],[totale_730_dichiarante]]&lt;&gt;0,LOG10(openpolis_patrimoni_trasparenti_anno_2014[[#This Row],[totale_730_dichiarante]]), 0)</f>
        <v>5.0109441345288026</v>
      </c>
    </row>
    <row r="294" spans="1:21" x14ac:dyDescent="0.3">
      <c r="A294">
        <v>685702</v>
      </c>
      <c r="B294" s="1" t="s">
        <v>65</v>
      </c>
      <c r="C294" s="1" t="s">
        <v>593</v>
      </c>
      <c r="D294" s="2">
        <v>25746</v>
      </c>
      <c r="E294" s="1" t="s">
        <v>35</v>
      </c>
      <c r="F294" s="1" t="s">
        <v>67</v>
      </c>
      <c r="G294" s="1" t="s">
        <v>102</v>
      </c>
      <c r="H294" s="1" t="s">
        <v>102</v>
      </c>
      <c r="I294" s="1" t="s">
        <v>76</v>
      </c>
      <c r="J294">
        <v>84310</v>
      </c>
      <c r="K294">
        <v>0</v>
      </c>
      <c r="L294">
        <v>0</v>
      </c>
      <c r="M294">
        <v>0</v>
      </c>
      <c r="N294">
        <v>3</v>
      </c>
      <c r="O294" s="1" t="s">
        <v>32</v>
      </c>
      <c r="P294">
        <v>8</v>
      </c>
      <c r="Q294">
        <v>1</v>
      </c>
      <c r="R294">
        <v>1</v>
      </c>
      <c r="S294">
        <v>0</v>
      </c>
      <c r="T294">
        <v>0</v>
      </c>
      <c r="U294">
        <f>IF(openpolis_patrimoni_trasparenti_anno_2014[[#This Row],[totale_730_dichiarante]]&lt;&gt;0,LOG10(openpolis_patrimoni_trasparenti_anno_2014[[#This Row],[totale_730_dichiarante]]), 0)</f>
        <v>4.9258790893015005</v>
      </c>
    </row>
    <row r="295" spans="1:21" x14ac:dyDescent="0.3">
      <c r="A295">
        <v>1516</v>
      </c>
      <c r="B295" s="1" t="s">
        <v>594</v>
      </c>
      <c r="C295" s="1" t="s">
        <v>595</v>
      </c>
      <c r="D295" s="2">
        <v>19576</v>
      </c>
      <c r="E295" s="1" t="s">
        <v>465</v>
      </c>
      <c r="F295" s="1" t="s">
        <v>67</v>
      </c>
      <c r="G295" s="1" t="s">
        <v>24</v>
      </c>
      <c r="H295" s="1" t="s">
        <v>24</v>
      </c>
      <c r="I295" s="1" t="s">
        <v>94</v>
      </c>
      <c r="J295">
        <v>155233</v>
      </c>
      <c r="K295">
        <v>0</v>
      </c>
      <c r="L295">
        <v>0</v>
      </c>
      <c r="M295">
        <v>0</v>
      </c>
      <c r="N295">
        <v>2</v>
      </c>
      <c r="O295" s="1" t="s">
        <v>43</v>
      </c>
      <c r="P295">
        <v>2</v>
      </c>
      <c r="Q295">
        <v>0</v>
      </c>
      <c r="R295">
        <v>1</v>
      </c>
      <c r="S295">
        <v>0</v>
      </c>
      <c r="T295">
        <v>0</v>
      </c>
      <c r="U295">
        <f>IF(openpolis_patrimoni_trasparenti_anno_2014[[#This Row],[totale_730_dichiarante]]&lt;&gt;0,LOG10(openpolis_patrimoni_trasparenti_anno_2014[[#This Row],[totale_730_dichiarante]]), 0)</f>
        <v>5.1909840506492975</v>
      </c>
    </row>
    <row r="296" spans="1:21" x14ac:dyDescent="0.3">
      <c r="A296">
        <v>307538</v>
      </c>
      <c r="B296" s="1" t="s">
        <v>596</v>
      </c>
      <c r="C296" s="1" t="s">
        <v>597</v>
      </c>
      <c r="D296" s="2">
        <v>26237</v>
      </c>
      <c r="E296" s="1" t="s">
        <v>35</v>
      </c>
      <c r="F296" s="1" t="s">
        <v>67</v>
      </c>
      <c r="G296" s="1" t="s">
        <v>53</v>
      </c>
      <c r="H296" s="1" t="s">
        <v>53</v>
      </c>
      <c r="I296" s="1" t="s">
        <v>271</v>
      </c>
      <c r="J296">
        <v>89932</v>
      </c>
      <c r="K296">
        <v>0</v>
      </c>
      <c r="L296">
        <v>0</v>
      </c>
      <c r="M296">
        <v>0</v>
      </c>
      <c r="N296">
        <v>3</v>
      </c>
      <c r="O296" s="1" t="s">
        <v>32</v>
      </c>
      <c r="P296">
        <v>1</v>
      </c>
      <c r="Q296">
        <v>0</v>
      </c>
      <c r="R296">
        <v>0</v>
      </c>
      <c r="S296">
        <v>0</v>
      </c>
      <c r="T296">
        <v>0</v>
      </c>
      <c r="U296">
        <f>IF(openpolis_patrimoni_trasparenti_anno_2014[[#This Row],[totale_730_dichiarante]]&lt;&gt;0,LOG10(openpolis_patrimoni_trasparenti_anno_2014[[#This Row],[totale_730_dichiarante]]), 0)</f>
        <v>4.9539142518067152</v>
      </c>
    </row>
    <row r="297" spans="1:21" x14ac:dyDescent="0.3">
      <c r="A297">
        <v>621567</v>
      </c>
      <c r="B297" s="1" t="s">
        <v>162</v>
      </c>
      <c r="C297" s="1" t="s">
        <v>598</v>
      </c>
      <c r="D297" s="2">
        <v>14585</v>
      </c>
      <c r="E297" s="1" t="s">
        <v>35</v>
      </c>
      <c r="F297" s="1" t="s">
        <v>67</v>
      </c>
      <c r="G297" s="1" t="s">
        <v>36</v>
      </c>
      <c r="H297" s="1" t="s">
        <v>37</v>
      </c>
      <c r="I297" s="1" t="s">
        <v>111</v>
      </c>
      <c r="J297">
        <v>1497907</v>
      </c>
      <c r="K297">
        <v>0</v>
      </c>
      <c r="L297">
        <v>0</v>
      </c>
      <c r="M297">
        <v>0</v>
      </c>
      <c r="N297">
        <v>3</v>
      </c>
      <c r="O297" s="1" t="s">
        <v>32</v>
      </c>
      <c r="P297">
        <v>7</v>
      </c>
      <c r="Q297">
        <v>0</v>
      </c>
      <c r="R297">
        <v>0</v>
      </c>
      <c r="S297">
        <v>5</v>
      </c>
      <c r="T297">
        <v>4</v>
      </c>
      <c r="U297">
        <f>IF(openpolis_patrimoni_trasparenti_anno_2014[[#This Row],[totale_730_dichiarante]]&lt;&gt;0,LOG10(openpolis_patrimoni_trasparenti_anno_2014[[#This Row],[totale_730_dichiarante]]), 0)</f>
        <v>6.1754848503189805</v>
      </c>
    </row>
    <row r="298" spans="1:21" x14ac:dyDescent="0.3">
      <c r="A298">
        <v>497262</v>
      </c>
      <c r="B298" s="1" t="s">
        <v>517</v>
      </c>
      <c r="C298" s="1" t="s">
        <v>599</v>
      </c>
      <c r="D298" s="2">
        <v>24823</v>
      </c>
      <c r="E298" s="1" t="s">
        <v>22</v>
      </c>
      <c r="F298" s="1" t="s">
        <v>67</v>
      </c>
      <c r="G298" s="1" t="s">
        <v>24</v>
      </c>
      <c r="H298" s="1" t="s">
        <v>24</v>
      </c>
      <c r="I298" s="1" t="s">
        <v>173</v>
      </c>
      <c r="J298">
        <v>89146</v>
      </c>
      <c r="K298">
        <v>0</v>
      </c>
      <c r="L298">
        <v>0</v>
      </c>
      <c r="M298">
        <v>0</v>
      </c>
      <c r="N298">
        <v>3</v>
      </c>
      <c r="O298" s="1" t="s">
        <v>32</v>
      </c>
      <c r="P298">
        <v>0</v>
      </c>
      <c r="Q298">
        <v>0</v>
      </c>
      <c r="R298">
        <v>2</v>
      </c>
      <c r="S298">
        <v>0</v>
      </c>
      <c r="T298">
        <v>0</v>
      </c>
      <c r="U298">
        <f>IF(openpolis_patrimoni_trasparenti_anno_2014[[#This Row],[totale_730_dichiarante]]&lt;&gt;0,LOG10(openpolis_patrimoni_trasparenti_anno_2014[[#This Row],[totale_730_dichiarante]]), 0)</f>
        <v>4.9501018610626826</v>
      </c>
    </row>
    <row r="299" spans="1:21" x14ac:dyDescent="0.3">
      <c r="A299">
        <v>503343</v>
      </c>
      <c r="B299" s="1" t="s">
        <v>162</v>
      </c>
      <c r="C299" s="1" t="s">
        <v>600</v>
      </c>
      <c r="D299" s="2">
        <v>20821</v>
      </c>
      <c r="E299" s="1" t="s">
        <v>41</v>
      </c>
      <c r="F299" s="1" t="s">
        <v>67</v>
      </c>
      <c r="G299" s="1" t="s">
        <v>36</v>
      </c>
      <c r="H299" s="1" t="s">
        <v>37</v>
      </c>
      <c r="I299" s="1" t="s">
        <v>286</v>
      </c>
      <c r="J299">
        <v>114536</v>
      </c>
      <c r="K299">
        <v>0</v>
      </c>
      <c r="L299">
        <v>0</v>
      </c>
      <c r="M299">
        <v>0</v>
      </c>
      <c r="N299">
        <v>3</v>
      </c>
      <c r="O299" s="1" t="s">
        <v>32</v>
      </c>
      <c r="P299">
        <v>4</v>
      </c>
      <c r="Q299">
        <v>0</v>
      </c>
      <c r="R299">
        <v>4</v>
      </c>
      <c r="S299">
        <v>0</v>
      </c>
      <c r="T299">
        <v>0</v>
      </c>
      <c r="U299">
        <f>IF(openpolis_patrimoni_trasparenti_anno_2014[[#This Row],[totale_730_dichiarante]]&lt;&gt;0,LOG10(openpolis_patrimoni_trasparenti_anno_2014[[#This Row],[totale_730_dichiarante]]), 0)</f>
        <v>5.0589420119512107</v>
      </c>
    </row>
    <row r="300" spans="1:21" x14ac:dyDescent="0.3">
      <c r="A300">
        <v>241319</v>
      </c>
      <c r="B300" s="1" t="s">
        <v>141</v>
      </c>
      <c r="C300" s="1" t="s">
        <v>601</v>
      </c>
      <c r="D300" s="2">
        <v>21193</v>
      </c>
      <c r="E300" s="1" t="s">
        <v>49</v>
      </c>
      <c r="F300" s="1" t="s">
        <v>67</v>
      </c>
      <c r="G300" s="1" t="s">
        <v>24</v>
      </c>
      <c r="H300" s="1" t="s">
        <v>24</v>
      </c>
      <c r="I300" s="1" t="s">
        <v>46</v>
      </c>
      <c r="J300">
        <v>89795</v>
      </c>
      <c r="K300">
        <v>0</v>
      </c>
      <c r="L300">
        <v>0</v>
      </c>
      <c r="M300">
        <v>0</v>
      </c>
      <c r="N300">
        <v>3</v>
      </c>
      <c r="O300" s="1" t="s">
        <v>32</v>
      </c>
      <c r="P300">
        <v>1</v>
      </c>
      <c r="Q300">
        <v>0</v>
      </c>
      <c r="R300">
        <v>1</v>
      </c>
      <c r="S300">
        <v>0</v>
      </c>
      <c r="T300">
        <v>0</v>
      </c>
      <c r="U300">
        <f>IF(openpolis_patrimoni_trasparenti_anno_2014[[#This Row],[totale_730_dichiarante]]&lt;&gt;0,LOG10(openpolis_patrimoni_trasparenti_anno_2014[[#This Row],[totale_730_dichiarante]]), 0)</f>
        <v>4.95325215478685</v>
      </c>
    </row>
    <row r="301" spans="1:21" x14ac:dyDescent="0.3">
      <c r="A301">
        <v>685908</v>
      </c>
      <c r="B301" s="1" t="s">
        <v>602</v>
      </c>
      <c r="C301" s="1" t="s">
        <v>603</v>
      </c>
      <c r="D301" s="2">
        <v>21962</v>
      </c>
      <c r="E301" s="1" t="s">
        <v>156</v>
      </c>
      <c r="F301" s="1" t="s">
        <v>67</v>
      </c>
      <c r="G301" s="1" t="s">
        <v>24</v>
      </c>
      <c r="H301" s="1" t="s">
        <v>24</v>
      </c>
      <c r="I301" s="1" t="s">
        <v>286</v>
      </c>
      <c r="J301">
        <v>92128</v>
      </c>
      <c r="K301">
        <v>0</v>
      </c>
      <c r="L301">
        <v>0</v>
      </c>
      <c r="M301">
        <v>0</v>
      </c>
      <c r="N301">
        <v>3</v>
      </c>
      <c r="O301" s="1" t="s">
        <v>32</v>
      </c>
      <c r="P301">
        <v>3</v>
      </c>
      <c r="Q301">
        <v>1</v>
      </c>
      <c r="R301">
        <v>0</v>
      </c>
      <c r="S301">
        <v>0</v>
      </c>
      <c r="T301">
        <v>0</v>
      </c>
      <c r="U301">
        <f>IF(openpolis_patrimoni_trasparenti_anno_2014[[#This Row],[totale_730_dichiarante]]&lt;&gt;0,LOG10(openpolis_patrimoni_trasparenti_anno_2014[[#This Row],[totale_730_dichiarante]]), 0)</f>
        <v>4.9643916431979882</v>
      </c>
    </row>
    <row r="302" spans="1:21" x14ac:dyDescent="0.3">
      <c r="A302">
        <v>687128</v>
      </c>
      <c r="B302" s="1" t="s">
        <v>242</v>
      </c>
      <c r="C302" s="1" t="s">
        <v>604</v>
      </c>
      <c r="D302" s="2">
        <v>23710</v>
      </c>
      <c r="E302" s="1" t="s">
        <v>49</v>
      </c>
      <c r="F302" s="1" t="s">
        <v>67</v>
      </c>
      <c r="G302" s="1" t="s">
        <v>102</v>
      </c>
      <c r="H302" s="1" t="s">
        <v>54</v>
      </c>
      <c r="I302" s="1" t="s">
        <v>345</v>
      </c>
      <c r="J302">
        <v>96786</v>
      </c>
      <c r="K302">
        <v>0</v>
      </c>
      <c r="L302">
        <v>0</v>
      </c>
      <c r="M302">
        <v>0</v>
      </c>
      <c r="N302">
        <v>3</v>
      </c>
      <c r="O302" s="1" t="s">
        <v>32</v>
      </c>
      <c r="P302">
        <v>3</v>
      </c>
      <c r="Q302">
        <v>0</v>
      </c>
      <c r="R302">
        <v>1</v>
      </c>
      <c r="S302">
        <v>0</v>
      </c>
      <c r="T302">
        <v>0</v>
      </c>
      <c r="U302">
        <f>IF(openpolis_patrimoni_trasparenti_anno_2014[[#This Row],[totale_730_dichiarante]]&lt;&gt;0,LOG10(openpolis_patrimoni_trasparenti_anno_2014[[#This Row],[totale_730_dichiarante]]), 0)</f>
        <v>4.9858125415804251</v>
      </c>
    </row>
    <row r="303" spans="1:21" x14ac:dyDescent="0.3">
      <c r="A303">
        <v>170714</v>
      </c>
      <c r="B303" s="1" t="s">
        <v>305</v>
      </c>
      <c r="C303" s="1" t="s">
        <v>605</v>
      </c>
      <c r="D303" s="2">
        <v>26278</v>
      </c>
      <c r="E303" s="1" t="s">
        <v>35</v>
      </c>
      <c r="F303" s="1" t="s">
        <v>67</v>
      </c>
      <c r="G303" s="1" t="s">
        <v>53</v>
      </c>
      <c r="H303" s="1" t="s">
        <v>53</v>
      </c>
      <c r="I303" s="1" t="s">
        <v>271</v>
      </c>
      <c r="J303">
        <v>119455</v>
      </c>
      <c r="K303">
        <v>0</v>
      </c>
      <c r="L303">
        <v>0</v>
      </c>
      <c r="M303">
        <v>0</v>
      </c>
      <c r="N303">
        <v>3</v>
      </c>
      <c r="O303" s="1" t="s">
        <v>32</v>
      </c>
      <c r="P303">
        <v>1</v>
      </c>
      <c r="Q303">
        <v>0</v>
      </c>
      <c r="R303">
        <v>0</v>
      </c>
      <c r="S303">
        <v>1</v>
      </c>
      <c r="T303">
        <v>0</v>
      </c>
      <c r="U303">
        <f>IF(openpolis_patrimoni_trasparenti_anno_2014[[#This Row],[totale_730_dichiarante]]&lt;&gt;0,LOG10(openpolis_patrimoni_trasparenti_anno_2014[[#This Row],[totale_730_dichiarante]]), 0)</f>
        <v>5.0772043326289147</v>
      </c>
    </row>
    <row r="304" spans="1:21" x14ac:dyDescent="0.3">
      <c r="A304">
        <v>333020</v>
      </c>
      <c r="B304" s="1" t="s">
        <v>324</v>
      </c>
      <c r="C304" s="1" t="s">
        <v>606</v>
      </c>
      <c r="D304" s="2">
        <v>15571</v>
      </c>
      <c r="E304" s="1" t="s">
        <v>465</v>
      </c>
      <c r="F304" s="1" t="s">
        <v>67</v>
      </c>
      <c r="G304" s="1" t="s">
        <v>36</v>
      </c>
      <c r="H304" s="1" t="s">
        <v>37</v>
      </c>
      <c r="I304" s="1" t="s">
        <v>271</v>
      </c>
      <c r="J304">
        <v>284866</v>
      </c>
      <c r="K304">
        <v>0</v>
      </c>
      <c r="L304">
        <v>0</v>
      </c>
      <c r="M304">
        <v>0</v>
      </c>
      <c r="N304">
        <v>3</v>
      </c>
      <c r="O304" s="1" t="s">
        <v>32</v>
      </c>
      <c r="P304">
        <v>9</v>
      </c>
      <c r="Q304">
        <v>1</v>
      </c>
      <c r="R304">
        <v>2</v>
      </c>
      <c r="S304">
        <v>1</v>
      </c>
      <c r="T304">
        <v>0</v>
      </c>
      <c r="U304">
        <f>IF(openpolis_patrimoni_trasparenti_anno_2014[[#This Row],[totale_730_dichiarante]]&lt;&gt;0,LOG10(openpolis_patrimoni_trasparenti_anno_2014[[#This Row],[totale_730_dichiarante]]), 0)</f>
        <v>5.4546406173913065</v>
      </c>
    </row>
    <row r="305" spans="1:21" x14ac:dyDescent="0.3">
      <c r="A305">
        <v>1506</v>
      </c>
      <c r="B305" s="1" t="s">
        <v>51</v>
      </c>
      <c r="C305" s="1" t="s">
        <v>607</v>
      </c>
      <c r="D305" s="2">
        <v>20563</v>
      </c>
      <c r="E305" s="1" t="s">
        <v>75</v>
      </c>
      <c r="F305" s="1" t="s">
        <v>67</v>
      </c>
      <c r="G305" s="1" t="s">
        <v>53</v>
      </c>
      <c r="H305" s="1" t="s">
        <v>53</v>
      </c>
      <c r="I305" s="1" t="s">
        <v>271</v>
      </c>
      <c r="J305">
        <v>134093</v>
      </c>
      <c r="K305">
        <v>0</v>
      </c>
      <c r="L305">
        <v>0</v>
      </c>
      <c r="M305">
        <v>0</v>
      </c>
      <c r="N305">
        <v>3</v>
      </c>
      <c r="O305" s="1" t="s">
        <v>32</v>
      </c>
      <c r="P305">
        <v>3</v>
      </c>
      <c r="Q305">
        <v>0</v>
      </c>
      <c r="R305">
        <v>5</v>
      </c>
      <c r="S305">
        <v>1</v>
      </c>
      <c r="T305">
        <v>2</v>
      </c>
      <c r="U305">
        <f>IF(openpolis_patrimoni_trasparenti_anno_2014[[#This Row],[totale_730_dichiarante]]&lt;&gt;0,LOG10(openpolis_patrimoni_trasparenti_anno_2014[[#This Row],[totale_730_dichiarante]]), 0)</f>
        <v>5.1274061071527068</v>
      </c>
    </row>
    <row r="306" spans="1:21" x14ac:dyDescent="0.3">
      <c r="A306">
        <v>686949</v>
      </c>
      <c r="B306" s="1" t="s">
        <v>608</v>
      </c>
      <c r="C306" s="1" t="s">
        <v>609</v>
      </c>
      <c r="D306" s="2">
        <v>26226</v>
      </c>
      <c r="E306" s="1" t="s">
        <v>63</v>
      </c>
      <c r="F306" s="1" t="s">
        <v>67</v>
      </c>
      <c r="G306" s="1" t="s">
        <v>102</v>
      </c>
      <c r="H306" s="1" t="s">
        <v>102</v>
      </c>
      <c r="I306" s="1" t="s">
        <v>111</v>
      </c>
      <c r="J306">
        <v>83096</v>
      </c>
      <c r="K306">
        <v>0</v>
      </c>
      <c r="L306">
        <v>0</v>
      </c>
      <c r="M306">
        <v>0</v>
      </c>
      <c r="N306">
        <v>2</v>
      </c>
      <c r="O306" s="1" t="s">
        <v>43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f>IF(openpolis_patrimoni_trasparenti_anno_2014[[#This Row],[totale_730_dichiarante]]&lt;&gt;0,LOG10(openpolis_patrimoni_trasparenti_anno_2014[[#This Row],[totale_730_dichiarante]]), 0)</f>
        <v>4.9195801186127719</v>
      </c>
    </row>
    <row r="307" spans="1:21" x14ac:dyDescent="0.3">
      <c r="A307">
        <v>248</v>
      </c>
      <c r="B307" s="1" t="s">
        <v>389</v>
      </c>
      <c r="C307" s="1" t="s">
        <v>610</v>
      </c>
      <c r="D307" s="2">
        <v>17354</v>
      </c>
      <c r="E307" s="1" t="s">
        <v>156</v>
      </c>
      <c r="F307" s="1" t="s">
        <v>67</v>
      </c>
      <c r="G307" s="1" t="s">
        <v>279</v>
      </c>
      <c r="H307" s="1" t="s">
        <v>279</v>
      </c>
      <c r="I307" s="1" t="s">
        <v>69</v>
      </c>
      <c r="J307">
        <v>110395</v>
      </c>
      <c r="K307">
        <v>20459</v>
      </c>
      <c r="L307">
        <v>0</v>
      </c>
      <c r="M307">
        <v>0</v>
      </c>
      <c r="N307">
        <v>3</v>
      </c>
      <c r="O307" s="1" t="s">
        <v>32</v>
      </c>
      <c r="P307">
        <v>4</v>
      </c>
      <c r="Q307">
        <v>2</v>
      </c>
      <c r="R307">
        <v>1</v>
      </c>
      <c r="S307">
        <v>1</v>
      </c>
      <c r="T307">
        <v>2</v>
      </c>
      <c r="U307">
        <f>IF(openpolis_patrimoni_trasparenti_anno_2014[[#This Row],[totale_730_dichiarante]]&lt;&gt;0,LOG10(openpolis_patrimoni_trasparenti_anno_2014[[#This Row],[totale_730_dichiarante]]), 0)</f>
        <v>5.0429494038136164</v>
      </c>
    </row>
    <row r="308" spans="1:21" x14ac:dyDescent="0.3">
      <c r="A308">
        <v>687085</v>
      </c>
      <c r="B308" s="1" t="s">
        <v>357</v>
      </c>
      <c r="C308" s="1" t="s">
        <v>611</v>
      </c>
      <c r="D308" s="2">
        <v>23588</v>
      </c>
      <c r="E308" s="1" t="s">
        <v>41</v>
      </c>
      <c r="F308" s="1" t="s">
        <v>67</v>
      </c>
      <c r="G308" s="1" t="s">
        <v>102</v>
      </c>
      <c r="H308" s="1" t="s">
        <v>102</v>
      </c>
      <c r="I308" s="1" t="s">
        <v>115</v>
      </c>
      <c r="J308">
        <v>93425</v>
      </c>
      <c r="K308">
        <v>0</v>
      </c>
      <c r="L308">
        <v>0</v>
      </c>
      <c r="M308">
        <v>0</v>
      </c>
      <c r="N308">
        <v>2</v>
      </c>
      <c r="O308" s="1" t="s">
        <v>43</v>
      </c>
      <c r="P308">
        <v>1</v>
      </c>
      <c r="Q308">
        <v>0</v>
      </c>
      <c r="R308">
        <v>2</v>
      </c>
      <c r="S308">
        <v>0</v>
      </c>
      <c r="T308">
        <v>0</v>
      </c>
      <c r="U308">
        <f>IF(openpolis_patrimoni_trasparenti_anno_2014[[#This Row],[totale_730_dichiarante]]&lt;&gt;0,LOG10(openpolis_patrimoni_trasparenti_anno_2014[[#This Row],[totale_730_dichiarante]]), 0)</f>
        <v>4.9704631065216756</v>
      </c>
    </row>
    <row r="309" spans="1:21" x14ac:dyDescent="0.3">
      <c r="A309">
        <v>244</v>
      </c>
      <c r="B309" s="1" t="s">
        <v>612</v>
      </c>
      <c r="C309" s="1" t="s">
        <v>145</v>
      </c>
      <c r="D309" s="2">
        <v>17863</v>
      </c>
      <c r="E309" s="1" t="s">
        <v>41</v>
      </c>
      <c r="F309" s="1" t="s">
        <v>67</v>
      </c>
      <c r="G309" s="1" t="s">
        <v>36</v>
      </c>
      <c r="H309" s="1" t="s">
        <v>37</v>
      </c>
      <c r="I309" s="1" t="s">
        <v>115</v>
      </c>
      <c r="J309">
        <v>398784</v>
      </c>
      <c r="K309">
        <v>0</v>
      </c>
      <c r="L309">
        <v>0</v>
      </c>
      <c r="M309">
        <v>0</v>
      </c>
      <c r="N309">
        <v>3</v>
      </c>
      <c r="O309" s="1" t="s">
        <v>32</v>
      </c>
      <c r="P309">
        <v>5</v>
      </c>
      <c r="Q309">
        <v>0</v>
      </c>
      <c r="R309">
        <v>6</v>
      </c>
      <c r="S309">
        <v>0</v>
      </c>
      <c r="T309">
        <v>0</v>
      </c>
      <c r="U309">
        <f>IF(openpolis_patrimoni_trasparenti_anno_2014[[#This Row],[totale_730_dichiarante]]&lt;&gt;0,LOG10(openpolis_patrimoni_trasparenti_anno_2014[[#This Row],[totale_730_dichiarante]]), 0)</f>
        <v>5.6007377252386483</v>
      </c>
    </row>
    <row r="310" spans="1:21" x14ac:dyDescent="0.3">
      <c r="A310">
        <v>7265</v>
      </c>
      <c r="B310" s="1" t="s">
        <v>242</v>
      </c>
      <c r="C310" s="1" t="s">
        <v>613</v>
      </c>
      <c r="D310" s="2">
        <v>23707</v>
      </c>
      <c r="E310" s="1" t="s">
        <v>41</v>
      </c>
      <c r="F310" s="1" t="s">
        <v>67</v>
      </c>
      <c r="G310" s="1" t="s">
        <v>36</v>
      </c>
      <c r="H310" s="1" t="s">
        <v>93</v>
      </c>
      <c r="I310" s="1" t="s">
        <v>115</v>
      </c>
      <c r="J310">
        <v>90461</v>
      </c>
      <c r="K310">
        <v>0</v>
      </c>
      <c r="L310">
        <v>0</v>
      </c>
      <c r="M310">
        <v>0</v>
      </c>
      <c r="N310">
        <v>3</v>
      </c>
      <c r="O310" s="1" t="s">
        <v>32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f>IF(openpolis_patrimoni_trasparenti_anno_2014[[#This Row],[totale_730_dichiarante]]&lt;&gt;0,LOG10(openpolis_patrimoni_trasparenti_anno_2014[[#This Row],[totale_730_dichiarante]]), 0)</f>
        <v>4.956461384339387</v>
      </c>
    </row>
    <row r="311" spans="1:21" x14ac:dyDescent="0.3">
      <c r="A311">
        <v>27997</v>
      </c>
      <c r="B311" s="1" t="s">
        <v>276</v>
      </c>
      <c r="C311" s="1" t="s">
        <v>614</v>
      </c>
      <c r="D311" s="2">
        <v>22460</v>
      </c>
      <c r="E311" s="1" t="s">
        <v>49</v>
      </c>
      <c r="F311" s="1" t="s">
        <v>67</v>
      </c>
      <c r="G311" s="1" t="s">
        <v>24</v>
      </c>
      <c r="H311" s="1" t="s">
        <v>24</v>
      </c>
      <c r="I311" s="1" t="s">
        <v>111</v>
      </c>
      <c r="J311">
        <v>88405</v>
      </c>
      <c r="K311">
        <v>22130</v>
      </c>
      <c r="L311">
        <v>0</v>
      </c>
      <c r="M311">
        <v>0</v>
      </c>
      <c r="N311">
        <v>3</v>
      </c>
      <c r="O311" s="1" t="s">
        <v>43</v>
      </c>
      <c r="P311">
        <v>1</v>
      </c>
      <c r="Q311">
        <v>0</v>
      </c>
      <c r="R311">
        <v>2</v>
      </c>
      <c r="S311">
        <v>0</v>
      </c>
      <c r="T311">
        <v>0</v>
      </c>
      <c r="U311">
        <f>IF(openpolis_patrimoni_trasparenti_anno_2014[[#This Row],[totale_730_dichiarante]]&lt;&gt;0,LOG10(openpolis_patrimoni_trasparenti_anno_2014[[#This Row],[totale_730_dichiarante]]), 0)</f>
        <v>4.9464768284859399</v>
      </c>
    </row>
    <row r="312" spans="1:21" x14ac:dyDescent="0.3">
      <c r="A312">
        <v>686975</v>
      </c>
      <c r="B312" s="1" t="s">
        <v>141</v>
      </c>
      <c r="C312" s="1" t="s">
        <v>615</v>
      </c>
      <c r="D312" s="2">
        <v>26117</v>
      </c>
      <c r="E312" s="1" t="s">
        <v>49</v>
      </c>
      <c r="F312" s="1" t="s">
        <v>67</v>
      </c>
      <c r="G312" s="1" t="s">
        <v>102</v>
      </c>
      <c r="H312" s="1" t="s">
        <v>102</v>
      </c>
      <c r="I312" s="1" t="s">
        <v>46</v>
      </c>
      <c r="J312">
        <v>83675</v>
      </c>
      <c r="K312">
        <v>0</v>
      </c>
      <c r="L312">
        <v>0</v>
      </c>
      <c r="M312">
        <v>0</v>
      </c>
      <c r="N312">
        <v>2</v>
      </c>
      <c r="O312" s="1" t="s">
        <v>43</v>
      </c>
      <c r="P312">
        <v>1</v>
      </c>
      <c r="Q312">
        <v>0</v>
      </c>
      <c r="R312">
        <v>0</v>
      </c>
      <c r="S312">
        <v>0</v>
      </c>
      <c r="T312">
        <v>0</v>
      </c>
      <c r="U312">
        <f>IF(openpolis_patrimoni_trasparenti_anno_2014[[#This Row],[totale_730_dichiarante]]&lt;&gt;0,LOG10(openpolis_patrimoni_trasparenti_anno_2014[[#This Row],[totale_730_dichiarante]]), 0)</f>
        <v>4.9225957210298148</v>
      </c>
    </row>
    <row r="313" spans="1:21" x14ac:dyDescent="0.3">
      <c r="A313">
        <v>226</v>
      </c>
      <c r="B313" s="1" t="s">
        <v>616</v>
      </c>
      <c r="C313" s="1" t="s">
        <v>617</v>
      </c>
      <c r="D313" s="2">
        <v>21684</v>
      </c>
      <c r="E313" s="1" t="s">
        <v>22</v>
      </c>
      <c r="F313" s="1" t="s">
        <v>67</v>
      </c>
      <c r="G313" s="1" t="s">
        <v>36</v>
      </c>
      <c r="H313" s="1" t="s">
        <v>298</v>
      </c>
      <c r="I313" s="1" t="s">
        <v>271</v>
      </c>
      <c r="J313">
        <v>136293</v>
      </c>
      <c r="K313">
        <v>0</v>
      </c>
      <c r="L313">
        <v>0</v>
      </c>
      <c r="M313">
        <v>0</v>
      </c>
      <c r="N313">
        <v>3</v>
      </c>
      <c r="O313" s="1" t="s">
        <v>32</v>
      </c>
      <c r="P313">
        <v>4</v>
      </c>
      <c r="Q313">
        <v>0</v>
      </c>
      <c r="R313">
        <v>1</v>
      </c>
      <c r="S313">
        <v>0</v>
      </c>
      <c r="T313">
        <v>0</v>
      </c>
      <c r="U313">
        <f>IF(openpolis_patrimoni_trasparenti_anno_2014[[#This Row],[totale_730_dichiarante]]&lt;&gt;0,LOG10(openpolis_patrimoni_trasparenti_anno_2014[[#This Row],[totale_730_dichiarante]]), 0)</f>
        <v>5.1344735510698847</v>
      </c>
    </row>
    <row r="314" spans="1:21" x14ac:dyDescent="0.3">
      <c r="A314">
        <v>225</v>
      </c>
      <c r="B314" s="1" t="s">
        <v>44</v>
      </c>
      <c r="C314" s="1" t="s">
        <v>618</v>
      </c>
      <c r="D314" s="2">
        <v>14799</v>
      </c>
      <c r="E314" s="1" t="s">
        <v>156</v>
      </c>
      <c r="F314" s="1" t="s">
        <v>67</v>
      </c>
      <c r="G314" s="1" t="s">
        <v>36</v>
      </c>
      <c r="H314" s="1" t="s">
        <v>168</v>
      </c>
      <c r="I314" s="1" t="s">
        <v>271</v>
      </c>
      <c r="J314">
        <v>206108</v>
      </c>
      <c r="K314">
        <v>0</v>
      </c>
      <c r="L314">
        <v>0</v>
      </c>
      <c r="M314">
        <v>0</v>
      </c>
      <c r="N314">
        <v>3</v>
      </c>
      <c r="O314" s="1" t="s">
        <v>32</v>
      </c>
      <c r="P314">
        <v>3</v>
      </c>
      <c r="Q314">
        <v>0</v>
      </c>
      <c r="R314">
        <v>0</v>
      </c>
      <c r="S314">
        <v>8</v>
      </c>
      <c r="T314">
        <v>0</v>
      </c>
      <c r="U314">
        <f>IF(openpolis_patrimoni_trasparenti_anno_2014[[#This Row],[totale_730_dichiarante]]&lt;&gt;0,LOG10(openpolis_patrimoni_trasparenti_anno_2014[[#This Row],[totale_730_dichiarante]]), 0)</f>
        <v>5.3140948490738582</v>
      </c>
    </row>
    <row r="315" spans="1:21" x14ac:dyDescent="0.3">
      <c r="A315">
        <v>687126</v>
      </c>
      <c r="B315" s="1" t="s">
        <v>619</v>
      </c>
      <c r="C315" s="1" t="s">
        <v>620</v>
      </c>
      <c r="D315" s="2">
        <v>25168</v>
      </c>
      <c r="E315" s="1" t="s">
        <v>49</v>
      </c>
      <c r="F315" s="1" t="s">
        <v>67</v>
      </c>
      <c r="G315" s="1" t="s">
        <v>102</v>
      </c>
      <c r="H315" s="1" t="s">
        <v>54</v>
      </c>
      <c r="I315" s="1" t="s">
        <v>345</v>
      </c>
      <c r="J315">
        <v>81611</v>
      </c>
      <c r="K315">
        <v>0</v>
      </c>
      <c r="L315">
        <v>0</v>
      </c>
      <c r="M315">
        <v>0</v>
      </c>
      <c r="N315">
        <v>3</v>
      </c>
      <c r="O315" s="1" t="s">
        <v>32</v>
      </c>
      <c r="P315">
        <v>2</v>
      </c>
      <c r="Q315">
        <v>0</v>
      </c>
      <c r="R315">
        <v>1</v>
      </c>
      <c r="S315">
        <v>0</v>
      </c>
      <c r="T315">
        <v>0</v>
      </c>
      <c r="U315">
        <f>IF(openpolis_patrimoni_trasparenti_anno_2014[[#This Row],[totale_730_dichiarante]]&lt;&gt;0,LOG10(openpolis_patrimoni_trasparenti_anno_2014[[#This Row],[totale_730_dichiarante]]), 0)</f>
        <v>4.9117486994074708</v>
      </c>
    </row>
    <row r="316" spans="1:21" x14ac:dyDescent="0.3">
      <c r="A316">
        <v>687663</v>
      </c>
      <c r="B316" s="1" t="s">
        <v>621</v>
      </c>
      <c r="C316" s="1" t="s">
        <v>622</v>
      </c>
      <c r="D316" s="2">
        <v>23299</v>
      </c>
      <c r="E316" s="1" t="s">
        <v>35</v>
      </c>
      <c r="F316" s="1" t="s">
        <v>67</v>
      </c>
      <c r="G316" s="1" t="s">
        <v>36</v>
      </c>
      <c r="H316" s="1" t="s">
        <v>37</v>
      </c>
      <c r="I316" s="1" t="s">
        <v>191</v>
      </c>
      <c r="J316">
        <v>568298</v>
      </c>
      <c r="K316">
        <v>0</v>
      </c>
      <c r="L316">
        <v>0</v>
      </c>
      <c r="M316">
        <v>0</v>
      </c>
      <c r="N316">
        <v>3</v>
      </c>
      <c r="O316" s="1" t="s">
        <v>83</v>
      </c>
      <c r="P316">
        <v>0</v>
      </c>
      <c r="Q316">
        <v>1</v>
      </c>
      <c r="R316">
        <v>3</v>
      </c>
      <c r="S316">
        <v>3</v>
      </c>
      <c r="T316">
        <v>7</v>
      </c>
      <c r="U316">
        <f>IF(openpolis_patrimoni_trasparenti_anno_2014[[#This Row],[totale_730_dichiarante]]&lt;&gt;0,LOG10(openpolis_patrimoni_trasparenti_anno_2014[[#This Row],[totale_730_dichiarante]]), 0)</f>
        <v>5.7545761276433716</v>
      </c>
    </row>
    <row r="317" spans="1:21" x14ac:dyDescent="0.3">
      <c r="A317">
        <v>685699</v>
      </c>
      <c r="B317" s="1" t="s">
        <v>623</v>
      </c>
      <c r="C317" s="1" t="s">
        <v>624</v>
      </c>
      <c r="D317" s="2">
        <v>23554</v>
      </c>
      <c r="E317" s="1" t="s">
        <v>29</v>
      </c>
      <c r="F317" s="1" t="s">
        <v>67</v>
      </c>
      <c r="G317" s="1" t="s">
        <v>102</v>
      </c>
      <c r="H317" s="1" t="s">
        <v>102</v>
      </c>
      <c r="I317" s="1" t="s">
        <v>76</v>
      </c>
      <c r="J317">
        <v>88187</v>
      </c>
      <c r="K317">
        <v>0</v>
      </c>
      <c r="L317">
        <v>0</v>
      </c>
      <c r="M317">
        <v>0</v>
      </c>
      <c r="N317">
        <v>3</v>
      </c>
      <c r="O317" s="1" t="s">
        <v>32</v>
      </c>
      <c r="P317">
        <v>4</v>
      </c>
      <c r="Q317">
        <v>0</v>
      </c>
      <c r="R317">
        <v>1</v>
      </c>
      <c r="S317">
        <v>0</v>
      </c>
      <c r="T317">
        <v>0</v>
      </c>
      <c r="U317">
        <f>IF(openpolis_patrimoni_trasparenti_anno_2014[[#This Row],[totale_730_dichiarante]]&lt;&gt;0,LOG10(openpolis_patrimoni_trasparenti_anno_2014[[#This Row],[totale_730_dichiarante]]), 0)</f>
        <v>4.9454045687556132</v>
      </c>
    </row>
    <row r="318" spans="1:21" x14ac:dyDescent="0.3">
      <c r="A318">
        <v>121829</v>
      </c>
      <c r="B318" s="1" t="s">
        <v>625</v>
      </c>
      <c r="C318" s="1" t="s">
        <v>626</v>
      </c>
      <c r="D318" s="2">
        <v>21270</v>
      </c>
      <c r="E318" s="1" t="s">
        <v>75</v>
      </c>
      <c r="F318" s="1" t="s">
        <v>67</v>
      </c>
      <c r="G318" s="1" t="s">
        <v>25</v>
      </c>
      <c r="H318" s="1" t="s">
        <v>168</v>
      </c>
      <c r="I318" s="1" t="s">
        <v>42</v>
      </c>
      <c r="J318">
        <v>112085</v>
      </c>
      <c r="K318">
        <v>0</v>
      </c>
      <c r="L318">
        <v>0</v>
      </c>
      <c r="M318">
        <v>0</v>
      </c>
      <c r="N318">
        <v>3</v>
      </c>
      <c r="O318" s="1" t="s">
        <v>32</v>
      </c>
      <c r="P318">
        <v>6</v>
      </c>
      <c r="Q318">
        <v>0</v>
      </c>
      <c r="R318">
        <v>1</v>
      </c>
      <c r="S318">
        <v>1</v>
      </c>
      <c r="T318">
        <v>0</v>
      </c>
      <c r="U318">
        <f>IF(openpolis_patrimoni_trasparenti_anno_2014[[#This Row],[totale_730_dichiarante]]&lt;&gt;0,LOG10(openpolis_patrimoni_trasparenti_anno_2014[[#This Row],[totale_730_dichiarante]]), 0)</f>
        <v>5.0495474961533002</v>
      </c>
    </row>
    <row r="319" spans="1:21" x14ac:dyDescent="0.3">
      <c r="A319">
        <v>1482</v>
      </c>
      <c r="B319" s="1" t="s">
        <v>141</v>
      </c>
      <c r="C319" s="1" t="s">
        <v>627</v>
      </c>
      <c r="D319" s="2">
        <v>22064</v>
      </c>
      <c r="E319" s="1" t="s">
        <v>49</v>
      </c>
      <c r="F319" s="1" t="s">
        <v>67</v>
      </c>
      <c r="G319" s="1" t="s">
        <v>36</v>
      </c>
      <c r="H319" s="1" t="s">
        <v>168</v>
      </c>
      <c r="I319" s="1" t="s">
        <v>111</v>
      </c>
      <c r="J319">
        <v>97761</v>
      </c>
      <c r="K319">
        <v>0</v>
      </c>
      <c r="L319">
        <v>0</v>
      </c>
      <c r="M319">
        <v>0</v>
      </c>
      <c r="N319">
        <v>3</v>
      </c>
      <c r="O319" s="1" t="s">
        <v>32</v>
      </c>
      <c r="P319">
        <v>3</v>
      </c>
      <c r="Q319">
        <v>0</v>
      </c>
      <c r="R319">
        <v>2</v>
      </c>
      <c r="S319">
        <v>1</v>
      </c>
      <c r="T319">
        <v>0</v>
      </c>
      <c r="U319">
        <f>IF(openpolis_patrimoni_trasparenti_anno_2014[[#This Row],[totale_730_dichiarante]]&lt;&gt;0,LOG10(openpolis_patrimoni_trasparenti_anno_2014[[#This Row],[totale_730_dichiarante]]), 0)</f>
        <v>4.9901656353315875</v>
      </c>
    </row>
    <row r="320" spans="1:21" x14ac:dyDescent="0.3">
      <c r="A320">
        <v>687124</v>
      </c>
      <c r="B320" s="1" t="s">
        <v>628</v>
      </c>
      <c r="C320" s="1" t="s">
        <v>629</v>
      </c>
      <c r="D320" s="2">
        <v>17734</v>
      </c>
      <c r="E320" s="1" t="s">
        <v>75</v>
      </c>
      <c r="F320" s="1" t="s">
        <v>67</v>
      </c>
      <c r="G320" s="1" t="s">
        <v>24</v>
      </c>
      <c r="H320" s="1" t="s">
        <v>24</v>
      </c>
      <c r="I320" s="1" t="s">
        <v>345</v>
      </c>
      <c r="J320">
        <v>186422</v>
      </c>
      <c r="K320">
        <v>0</v>
      </c>
      <c r="L320">
        <v>0</v>
      </c>
      <c r="M320">
        <v>0</v>
      </c>
      <c r="N320">
        <v>3</v>
      </c>
      <c r="O320" s="1" t="s">
        <v>32</v>
      </c>
      <c r="P320">
        <v>5</v>
      </c>
      <c r="Q320">
        <v>24</v>
      </c>
      <c r="R320">
        <v>1</v>
      </c>
      <c r="S320">
        <v>0</v>
      </c>
      <c r="T320">
        <v>0</v>
      </c>
      <c r="U320">
        <f>IF(openpolis_patrimoni_trasparenti_anno_2014[[#This Row],[totale_730_dichiarante]]&lt;&gt;0,LOG10(openpolis_patrimoni_trasparenti_anno_2014[[#This Row],[totale_730_dichiarante]]), 0)</f>
        <v>5.2704971629257358</v>
      </c>
    </row>
    <row r="321" spans="1:21" x14ac:dyDescent="0.3">
      <c r="A321">
        <v>687122</v>
      </c>
      <c r="B321" s="1" t="s">
        <v>630</v>
      </c>
      <c r="C321" s="1" t="s">
        <v>631</v>
      </c>
      <c r="D321" s="2">
        <v>24709</v>
      </c>
      <c r="E321" s="1" t="s">
        <v>35</v>
      </c>
      <c r="F321" s="1" t="s">
        <v>67</v>
      </c>
      <c r="G321" s="1" t="s">
        <v>102</v>
      </c>
      <c r="H321" s="1" t="s">
        <v>102</v>
      </c>
      <c r="I321" s="1" t="s">
        <v>345</v>
      </c>
      <c r="J321">
        <v>100848</v>
      </c>
      <c r="K321">
        <v>0</v>
      </c>
      <c r="L321">
        <v>0</v>
      </c>
      <c r="M321">
        <v>0</v>
      </c>
      <c r="N321">
        <v>3</v>
      </c>
      <c r="O321" s="1" t="s">
        <v>32</v>
      </c>
      <c r="P321">
        <v>7</v>
      </c>
      <c r="Q321">
        <v>0</v>
      </c>
      <c r="R321">
        <v>0</v>
      </c>
      <c r="S321">
        <v>1</v>
      </c>
      <c r="T321">
        <v>0</v>
      </c>
      <c r="U321">
        <f>IF(openpolis_patrimoni_trasparenti_anno_2014[[#This Row],[totale_730_dichiarante]]&lt;&gt;0,LOG10(openpolis_patrimoni_trasparenti_anno_2014[[#This Row],[totale_730_dichiarante]]), 0)</f>
        <v>5.0036672897815402</v>
      </c>
    </row>
    <row r="322" spans="1:21" x14ac:dyDescent="0.3">
      <c r="A322">
        <v>6440</v>
      </c>
      <c r="B322" s="1" t="s">
        <v>632</v>
      </c>
      <c r="C322" s="1" t="s">
        <v>633</v>
      </c>
      <c r="D322" s="2">
        <v>17505</v>
      </c>
      <c r="E322" s="1" t="s">
        <v>101</v>
      </c>
      <c r="F322" s="1" t="s">
        <v>67</v>
      </c>
      <c r="G322" s="1" t="s">
        <v>283</v>
      </c>
      <c r="H322" s="1" t="s">
        <v>279</v>
      </c>
      <c r="I322" s="1" t="s">
        <v>284</v>
      </c>
      <c r="J322">
        <v>180205</v>
      </c>
      <c r="K322">
        <v>0</v>
      </c>
      <c r="L322">
        <v>0</v>
      </c>
      <c r="M322">
        <v>0</v>
      </c>
      <c r="N322">
        <v>3</v>
      </c>
      <c r="O322" s="1" t="s">
        <v>32</v>
      </c>
      <c r="P322">
        <v>6</v>
      </c>
      <c r="Q322">
        <v>41</v>
      </c>
      <c r="R322">
        <v>1</v>
      </c>
      <c r="S322">
        <v>4</v>
      </c>
      <c r="T322">
        <v>0</v>
      </c>
      <c r="U322">
        <f>IF(openpolis_patrimoni_trasparenti_anno_2014[[#This Row],[totale_730_dichiarante]]&lt;&gt;0,LOG10(openpolis_patrimoni_trasparenti_anno_2014[[#This Row],[totale_730_dichiarante]]), 0)</f>
        <v>5.2557668368222021</v>
      </c>
    </row>
    <row r="323" spans="1:21" x14ac:dyDescent="0.3">
      <c r="A323">
        <v>685753</v>
      </c>
      <c r="B323" s="1" t="s">
        <v>387</v>
      </c>
      <c r="C323" s="1" t="s">
        <v>634</v>
      </c>
      <c r="D323" s="2">
        <v>23661</v>
      </c>
      <c r="E323" s="1" t="s">
        <v>307</v>
      </c>
      <c r="F323" s="1" t="s">
        <v>67</v>
      </c>
      <c r="G323" s="1" t="s">
        <v>126</v>
      </c>
      <c r="H323" s="1" t="s">
        <v>54</v>
      </c>
      <c r="I323" s="1" t="s">
        <v>393</v>
      </c>
      <c r="J323">
        <v>89380</v>
      </c>
      <c r="K323">
        <v>11983</v>
      </c>
      <c r="L323">
        <v>0</v>
      </c>
      <c r="M323">
        <v>0</v>
      </c>
      <c r="N323">
        <v>3</v>
      </c>
      <c r="O323" s="1" t="s">
        <v>32</v>
      </c>
      <c r="P323">
        <v>2</v>
      </c>
      <c r="Q323">
        <v>2</v>
      </c>
      <c r="R323">
        <v>1</v>
      </c>
      <c r="S323">
        <v>0</v>
      </c>
      <c r="T323">
        <v>0</v>
      </c>
      <c r="U323">
        <f>IF(openpolis_patrimoni_trasparenti_anno_2014[[#This Row],[totale_730_dichiarante]]&lt;&gt;0,LOG10(openpolis_patrimoni_trasparenti_anno_2014[[#This Row],[totale_730_dichiarante]]), 0)</f>
        <v>4.9512403503243405</v>
      </c>
    </row>
    <row r="324" spans="1:21" x14ac:dyDescent="0.3">
      <c r="A324">
        <v>79566</v>
      </c>
      <c r="B324" s="1" t="s">
        <v>107</v>
      </c>
      <c r="C324" s="1" t="s">
        <v>635</v>
      </c>
      <c r="D324" s="2">
        <v>17099</v>
      </c>
      <c r="E324" s="1" t="s">
        <v>101</v>
      </c>
      <c r="F324" s="1" t="s">
        <v>67</v>
      </c>
      <c r="G324" s="1" t="s">
        <v>36</v>
      </c>
      <c r="H324" s="1" t="s">
        <v>37</v>
      </c>
      <c r="I324" s="1" t="s">
        <v>286</v>
      </c>
      <c r="J324">
        <v>14288</v>
      </c>
      <c r="K324">
        <v>0</v>
      </c>
      <c r="L324">
        <v>0</v>
      </c>
      <c r="M324">
        <v>0</v>
      </c>
      <c r="N324">
        <v>1</v>
      </c>
      <c r="O324" s="1" t="s">
        <v>636</v>
      </c>
      <c r="P324">
        <v>3</v>
      </c>
      <c r="Q324">
        <v>1</v>
      </c>
      <c r="R324">
        <v>3</v>
      </c>
      <c r="S324">
        <v>0</v>
      </c>
      <c r="T324">
        <v>1</v>
      </c>
      <c r="U324">
        <f>IF(openpolis_patrimoni_trasparenti_anno_2014[[#This Row],[totale_730_dichiarante]]&lt;&gt;0,LOG10(openpolis_patrimoni_trasparenti_anno_2014[[#This Row],[totale_730_dichiarante]]), 0)</f>
        <v>4.154971441544471</v>
      </c>
    </row>
    <row r="325" spans="1:21" x14ac:dyDescent="0.3">
      <c r="A325">
        <v>124789</v>
      </c>
      <c r="B325" s="1" t="s">
        <v>145</v>
      </c>
      <c r="C325" s="1" t="s">
        <v>637</v>
      </c>
      <c r="D325" s="2">
        <v>23081</v>
      </c>
      <c r="E325" s="1" t="s">
        <v>49</v>
      </c>
      <c r="F325" s="1" t="s">
        <v>67</v>
      </c>
      <c r="G325" s="1" t="s">
        <v>24</v>
      </c>
      <c r="H325" s="1" t="s">
        <v>24</v>
      </c>
      <c r="I325" s="1" t="s">
        <v>291</v>
      </c>
      <c r="J325">
        <v>110341</v>
      </c>
      <c r="K325">
        <v>0</v>
      </c>
      <c r="L325">
        <v>0</v>
      </c>
      <c r="M325">
        <v>0</v>
      </c>
      <c r="N325">
        <v>2</v>
      </c>
      <c r="O325" s="1" t="s">
        <v>43</v>
      </c>
      <c r="P325">
        <v>7</v>
      </c>
      <c r="Q325">
        <v>2</v>
      </c>
      <c r="R325">
        <v>1</v>
      </c>
      <c r="S325">
        <v>3</v>
      </c>
      <c r="T325">
        <v>0</v>
      </c>
      <c r="U325">
        <f>IF(openpolis_patrimoni_trasparenti_anno_2014[[#This Row],[totale_730_dichiarante]]&lt;&gt;0,LOG10(openpolis_patrimoni_trasparenti_anno_2014[[#This Row],[totale_730_dichiarante]]), 0)</f>
        <v>5.0427369155698267</v>
      </c>
    </row>
    <row r="326" spans="1:21" x14ac:dyDescent="0.3">
      <c r="A326">
        <v>175</v>
      </c>
      <c r="B326" s="1" t="s">
        <v>488</v>
      </c>
      <c r="C326" s="1" t="s">
        <v>638</v>
      </c>
      <c r="D326" s="2">
        <v>20668</v>
      </c>
      <c r="E326" s="1" t="s">
        <v>35</v>
      </c>
      <c r="F326" s="1" t="s">
        <v>67</v>
      </c>
      <c r="G326" s="1" t="s">
        <v>36</v>
      </c>
      <c r="H326" s="1" t="s">
        <v>37</v>
      </c>
      <c r="I326" s="1" t="s">
        <v>115</v>
      </c>
      <c r="J326">
        <v>103897</v>
      </c>
      <c r="K326">
        <v>0</v>
      </c>
      <c r="L326">
        <v>0</v>
      </c>
      <c r="M326">
        <v>0</v>
      </c>
      <c r="N326">
        <v>3</v>
      </c>
      <c r="O326" s="1" t="s">
        <v>32</v>
      </c>
      <c r="P326">
        <v>4</v>
      </c>
      <c r="Q326">
        <v>0</v>
      </c>
      <c r="R326">
        <v>2</v>
      </c>
      <c r="S326">
        <v>1</v>
      </c>
      <c r="T326">
        <v>0</v>
      </c>
      <c r="U326">
        <f>IF(openpolis_patrimoni_trasparenti_anno_2014[[#This Row],[totale_730_dichiarante]]&lt;&gt;0,LOG10(openpolis_patrimoni_trasparenti_anno_2014[[#This Row],[totale_730_dichiarante]]), 0)</f>
        <v>5.0166030075932149</v>
      </c>
    </row>
    <row r="327" spans="1:21" x14ac:dyDescent="0.3">
      <c r="A327">
        <v>8407</v>
      </c>
      <c r="B327" s="1" t="s">
        <v>396</v>
      </c>
      <c r="C327" s="1" t="s">
        <v>639</v>
      </c>
      <c r="D327" s="2">
        <v>22424</v>
      </c>
      <c r="E327" s="1" t="s">
        <v>49</v>
      </c>
      <c r="F327" s="1" t="s">
        <v>67</v>
      </c>
      <c r="G327" s="1" t="s">
        <v>36</v>
      </c>
      <c r="H327" s="1" t="s">
        <v>37</v>
      </c>
      <c r="I327" s="1" t="s">
        <v>94</v>
      </c>
      <c r="J327">
        <v>22752</v>
      </c>
      <c r="K327">
        <v>0</v>
      </c>
      <c r="L327">
        <v>0</v>
      </c>
      <c r="M327">
        <v>0</v>
      </c>
      <c r="N327">
        <v>3</v>
      </c>
      <c r="O327" s="1" t="s">
        <v>640</v>
      </c>
      <c r="P327">
        <v>9</v>
      </c>
      <c r="Q327">
        <v>1</v>
      </c>
      <c r="R327">
        <v>2</v>
      </c>
      <c r="S327">
        <v>10</v>
      </c>
      <c r="T327">
        <v>1</v>
      </c>
      <c r="U327">
        <f>IF(openpolis_patrimoni_trasparenti_anno_2014[[#This Row],[totale_730_dichiarante]]&lt;&gt;0,LOG10(openpolis_patrimoni_trasparenti_anno_2014[[#This Row],[totale_730_dichiarante]]), 0)</f>
        <v>4.3570195790496724</v>
      </c>
    </row>
    <row r="328" spans="1:21" x14ac:dyDescent="0.3">
      <c r="A328">
        <v>1454</v>
      </c>
      <c r="B328" s="1" t="s">
        <v>641</v>
      </c>
      <c r="C328" s="1" t="s">
        <v>642</v>
      </c>
      <c r="D328" s="2">
        <v>17410</v>
      </c>
      <c r="E328" s="1" t="s">
        <v>29</v>
      </c>
      <c r="F328" s="1" t="s">
        <v>67</v>
      </c>
      <c r="G328" s="1" t="s">
        <v>24</v>
      </c>
      <c r="H328" s="1" t="s">
        <v>24</v>
      </c>
      <c r="I328" s="1" t="s">
        <v>58</v>
      </c>
      <c r="J328">
        <v>179060</v>
      </c>
      <c r="K328">
        <v>0</v>
      </c>
      <c r="L328">
        <v>0</v>
      </c>
      <c r="M328">
        <v>0</v>
      </c>
      <c r="N328">
        <v>3</v>
      </c>
      <c r="O328" s="1" t="s">
        <v>32</v>
      </c>
      <c r="P328">
        <v>4</v>
      </c>
      <c r="Q328">
        <v>0</v>
      </c>
      <c r="R328">
        <v>2</v>
      </c>
      <c r="S328">
        <v>0</v>
      </c>
      <c r="T328">
        <v>0</v>
      </c>
      <c r="U328">
        <f>IF(openpolis_patrimoni_trasparenti_anno_2014[[#This Row],[totale_730_dichiarante]]&lt;&gt;0,LOG10(openpolis_patrimoni_trasparenti_anno_2014[[#This Row],[totale_730_dichiarante]]), 0)</f>
        <v>5.2529985801568921</v>
      </c>
    </row>
    <row r="329" spans="1:21" x14ac:dyDescent="0.3">
      <c r="A329">
        <v>2</v>
      </c>
      <c r="B329" s="1" t="s">
        <v>77</v>
      </c>
      <c r="C329" s="1" t="s">
        <v>643</v>
      </c>
      <c r="D329" s="2">
        <v>18450</v>
      </c>
      <c r="E329" s="1" t="s">
        <v>35</v>
      </c>
      <c r="F329" s="1" t="s">
        <v>67</v>
      </c>
      <c r="G329" s="1" t="s">
        <v>25</v>
      </c>
      <c r="H329" s="1" t="s">
        <v>168</v>
      </c>
      <c r="I329" s="1" t="s">
        <v>271</v>
      </c>
      <c r="J329">
        <v>81877</v>
      </c>
      <c r="K329">
        <v>0</v>
      </c>
      <c r="L329">
        <v>0</v>
      </c>
      <c r="M329">
        <v>0</v>
      </c>
      <c r="N329">
        <v>3</v>
      </c>
      <c r="O329" s="1" t="s">
        <v>32</v>
      </c>
      <c r="P329">
        <v>13</v>
      </c>
      <c r="Q329">
        <v>8</v>
      </c>
      <c r="R329">
        <v>4</v>
      </c>
      <c r="S329">
        <v>36</v>
      </c>
      <c r="T329">
        <v>0</v>
      </c>
      <c r="U329">
        <f>IF(openpolis_patrimoni_trasparenti_anno_2014[[#This Row],[totale_730_dichiarante]]&lt;&gt;0,LOG10(openpolis_patrimoni_trasparenti_anno_2014[[#This Row],[totale_730_dichiarante]]), 0)</f>
        <v>4.9131619215904383</v>
      </c>
    </row>
    <row r="330" spans="1:21" x14ac:dyDescent="0.3">
      <c r="A330">
        <v>685864</v>
      </c>
      <c r="B330" s="1" t="s">
        <v>559</v>
      </c>
      <c r="C330" s="1" t="s">
        <v>644</v>
      </c>
      <c r="D330" s="2">
        <v>25701</v>
      </c>
      <c r="E330" s="1" t="s">
        <v>63</v>
      </c>
      <c r="F330" s="1" t="s">
        <v>67</v>
      </c>
      <c r="G330" s="1" t="s">
        <v>102</v>
      </c>
      <c r="H330" s="1" t="s">
        <v>102</v>
      </c>
      <c r="I330" s="1" t="s">
        <v>69</v>
      </c>
      <c r="J330">
        <v>81056</v>
      </c>
      <c r="K330">
        <v>0</v>
      </c>
      <c r="L330">
        <v>0</v>
      </c>
      <c r="M330">
        <v>0</v>
      </c>
      <c r="N330">
        <v>2</v>
      </c>
      <c r="O330" s="1" t="s">
        <v>43</v>
      </c>
      <c r="P330">
        <v>0</v>
      </c>
      <c r="Q330">
        <v>0</v>
      </c>
      <c r="R330">
        <v>1</v>
      </c>
      <c r="S330">
        <v>0</v>
      </c>
      <c r="T330">
        <v>1</v>
      </c>
      <c r="U330">
        <f>IF(openpolis_patrimoni_trasparenti_anno_2014[[#This Row],[totale_730_dichiarante]]&lt;&gt;0,LOG10(openpolis_patrimoni_trasparenti_anno_2014[[#This Row],[totale_730_dichiarante]]), 0)</f>
        <v>4.9087851681104535</v>
      </c>
    </row>
    <row r="331" spans="1:21" x14ac:dyDescent="0.3">
      <c r="A331">
        <v>274886</v>
      </c>
      <c r="B331" s="1" t="s">
        <v>467</v>
      </c>
      <c r="C331" s="1" t="s">
        <v>645</v>
      </c>
      <c r="D331" s="2">
        <v>20636</v>
      </c>
      <c r="E331" s="1" t="s">
        <v>75</v>
      </c>
      <c r="F331" s="1" t="s">
        <v>67</v>
      </c>
      <c r="G331" s="1" t="s">
        <v>36</v>
      </c>
      <c r="H331" s="1" t="s">
        <v>168</v>
      </c>
      <c r="I331" s="1" t="s">
        <v>42</v>
      </c>
      <c r="J331">
        <v>95351</v>
      </c>
      <c r="K331">
        <v>0</v>
      </c>
      <c r="L331">
        <v>0</v>
      </c>
      <c r="M331">
        <v>0</v>
      </c>
      <c r="N331">
        <v>3</v>
      </c>
      <c r="O331" s="1" t="s">
        <v>32</v>
      </c>
      <c r="P331">
        <v>4</v>
      </c>
      <c r="Q331">
        <v>1</v>
      </c>
      <c r="R331">
        <v>2</v>
      </c>
      <c r="S331">
        <v>0</v>
      </c>
      <c r="T331">
        <v>0</v>
      </c>
      <c r="U331">
        <f>IF(openpolis_patrimoni_trasparenti_anno_2014[[#This Row],[totale_730_dichiarante]]&lt;&gt;0,LOG10(openpolis_patrimoni_trasparenti_anno_2014[[#This Row],[totale_730_dichiarante]]), 0)</f>
        <v>4.9793252520983806</v>
      </c>
    </row>
    <row r="332" spans="1:21" x14ac:dyDescent="0.3">
      <c r="A332">
        <v>171347</v>
      </c>
      <c r="B332" s="1" t="s">
        <v>646</v>
      </c>
      <c r="C332" s="1" t="s">
        <v>647</v>
      </c>
      <c r="D332" s="2">
        <v>23436</v>
      </c>
      <c r="E332" s="1" t="s">
        <v>249</v>
      </c>
      <c r="F332" s="1" t="s">
        <v>30</v>
      </c>
      <c r="G332" s="1" t="s">
        <v>24</v>
      </c>
      <c r="H332" s="1" t="s">
        <v>24</v>
      </c>
      <c r="I332" s="1" t="s">
        <v>55</v>
      </c>
      <c r="J332">
        <v>103906</v>
      </c>
      <c r="K332">
        <v>0</v>
      </c>
      <c r="L332">
        <v>0</v>
      </c>
      <c r="M332">
        <v>0</v>
      </c>
      <c r="N332">
        <v>3</v>
      </c>
      <c r="O332" s="1" t="s">
        <v>32</v>
      </c>
      <c r="P332">
        <v>1</v>
      </c>
      <c r="Q332">
        <v>0</v>
      </c>
      <c r="R332">
        <v>1</v>
      </c>
      <c r="S332">
        <v>0</v>
      </c>
      <c r="T332">
        <v>0</v>
      </c>
      <c r="U332">
        <f>IF(openpolis_patrimoni_trasparenti_anno_2014[[#This Row],[totale_730_dichiarante]]&lt;&gt;0,LOG10(openpolis_patrimoni_trasparenti_anno_2014[[#This Row],[totale_730_dichiarante]]), 0)</f>
        <v>5.0166406263989058</v>
      </c>
    </row>
    <row r="333" spans="1:21" x14ac:dyDescent="0.3">
      <c r="A333">
        <v>8381</v>
      </c>
      <c r="B333" s="1" t="s">
        <v>648</v>
      </c>
      <c r="C333" s="1" t="s">
        <v>649</v>
      </c>
      <c r="D333" s="2">
        <v>20540</v>
      </c>
      <c r="E333" s="1" t="s">
        <v>156</v>
      </c>
      <c r="F333" s="1" t="s">
        <v>30</v>
      </c>
      <c r="G333" s="1" t="s">
        <v>126</v>
      </c>
      <c r="H333" s="1" t="s">
        <v>127</v>
      </c>
      <c r="I333" s="1" t="s">
        <v>50</v>
      </c>
      <c r="J333">
        <v>108241</v>
      </c>
      <c r="K333">
        <v>0</v>
      </c>
      <c r="L333">
        <v>0</v>
      </c>
      <c r="M333">
        <v>0</v>
      </c>
      <c r="N333">
        <v>3</v>
      </c>
      <c r="O333" s="1" t="s">
        <v>32</v>
      </c>
      <c r="P333">
        <v>3</v>
      </c>
      <c r="Q333">
        <v>5</v>
      </c>
      <c r="R333">
        <v>1</v>
      </c>
      <c r="S333">
        <v>0</v>
      </c>
      <c r="T333">
        <v>0</v>
      </c>
      <c r="U333">
        <f>IF(openpolis_patrimoni_trasparenti_anno_2014[[#This Row],[totale_730_dichiarante]]&lt;&gt;0,LOG10(openpolis_patrimoni_trasparenti_anno_2014[[#This Row],[totale_730_dichiarante]]), 0)</f>
        <v>5.0343917958999489</v>
      </c>
    </row>
    <row r="334" spans="1:21" x14ac:dyDescent="0.3">
      <c r="A334">
        <v>687315</v>
      </c>
      <c r="B334" s="1" t="s">
        <v>389</v>
      </c>
      <c r="C334" s="1" t="s">
        <v>650</v>
      </c>
      <c r="D334" s="2">
        <v>26888</v>
      </c>
      <c r="E334" s="1" t="s">
        <v>249</v>
      </c>
      <c r="F334" s="1" t="s">
        <v>176</v>
      </c>
      <c r="G334" s="1" t="s">
        <v>237</v>
      </c>
      <c r="H334" s="1" t="s">
        <v>25</v>
      </c>
      <c r="I334" s="1" t="s">
        <v>178</v>
      </c>
      <c r="J334">
        <v>195629</v>
      </c>
      <c r="K334">
        <v>0</v>
      </c>
      <c r="L334">
        <v>0</v>
      </c>
      <c r="M334">
        <v>0</v>
      </c>
      <c r="N334">
        <v>3</v>
      </c>
      <c r="O334" s="1" t="s">
        <v>32</v>
      </c>
      <c r="P334">
        <v>1</v>
      </c>
      <c r="Q334">
        <v>0</v>
      </c>
      <c r="R334">
        <v>1</v>
      </c>
      <c r="S334">
        <v>1</v>
      </c>
      <c r="T334">
        <v>3</v>
      </c>
      <c r="U334">
        <f>IF(openpolis_patrimoni_trasparenti_anno_2014[[#This Row],[totale_730_dichiarante]]&lt;&gt;0,LOG10(openpolis_patrimoni_trasparenti_anno_2014[[#This Row],[totale_730_dichiarante]]), 0)</f>
        <v>5.2914332349424988</v>
      </c>
    </row>
    <row r="335" spans="1:21" x14ac:dyDescent="0.3">
      <c r="A335">
        <v>82511</v>
      </c>
      <c r="B335" s="1" t="s">
        <v>451</v>
      </c>
      <c r="C335" s="1" t="s">
        <v>651</v>
      </c>
      <c r="D335" s="2">
        <v>26941</v>
      </c>
      <c r="E335" s="1" t="s">
        <v>146</v>
      </c>
      <c r="F335" s="1" t="s">
        <v>30</v>
      </c>
      <c r="G335" s="1" t="s">
        <v>126</v>
      </c>
      <c r="H335" s="1" t="s">
        <v>24</v>
      </c>
      <c r="I335" s="1" t="s">
        <v>55</v>
      </c>
      <c r="J335">
        <v>87342</v>
      </c>
      <c r="K335">
        <v>0</v>
      </c>
      <c r="L335">
        <v>0</v>
      </c>
      <c r="M335">
        <v>0</v>
      </c>
      <c r="N335">
        <v>3</v>
      </c>
      <c r="O335" s="1" t="s">
        <v>32</v>
      </c>
      <c r="P335">
        <v>1</v>
      </c>
      <c r="Q335">
        <v>0</v>
      </c>
      <c r="R335">
        <v>1</v>
      </c>
      <c r="S335">
        <v>0</v>
      </c>
      <c r="T335">
        <v>0</v>
      </c>
      <c r="U335">
        <f>IF(openpolis_patrimoni_trasparenti_anno_2014[[#This Row],[totale_730_dichiarante]]&lt;&gt;0,LOG10(openpolis_patrimoni_trasparenti_anno_2014[[#This Row],[totale_730_dichiarante]]), 0)</f>
        <v>4.9412231323874627</v>
      </c>
    </row>
    <row r="336" spans="1:21" x14ac:dyDescent="0.3">
      <c r="A336">
        <v>332952</v>
      </c>
      <c r="B336" s="1" t="s">
        <v>652</v>
      </c>
      <c r="C336" s="1" t="s">
        <v>653</v>
      </c>
      <c r="D336" s="2">
        <v>20591</v>
      </c>
      <c r="E336" s="1" t="s">
        <v>156</v>
      </c>
      <c r="F336" s="1" t="s">
        <v>30</v>
      </c>
      <c r="G336" s="1" t="s">
        <v>24</v>
      </c>
      <c r="H336" s="1" t="s">
        <v>24</v>
      </c>
      <c r="I336" s="1" t="s">
        <v>111</v>
      </c>
      <c r="J336">
        <v>99769</v>
      </c>
      <c r="K336">
        <v>0</v>
      </c>
      <c r="L336">
        <v>7780</v>
      </c>
      <c r="M336">
        <v>2432.6999999999998</v>
      </c>
      <c r="N336">
        <v>3</v>
      </c>
      <c r="O336" s="1" t="s">
        <v>32</v>
      </c>
      <c r="P336">
        <v>2</v>
      </c>
      <c r="Q336">
        <v>0</v>
      </c>
      <c r="R336">
        <v>1</v>
      </c>
      <c r="S336">
        <v>0</v>
      </c>
      <c r="T336">
        <v>0</v>
      </c>
      <c r="U336">
        <f>IF(openpolis_patrimoni_trasparenti_anno_2014[[#This Row],[totale_730_dichiarante]]&lt;&gt;0,LOG10(openpolis_patrimoni_trasparenti_anno_2014[[#This Row],[totale_730_dichiarante]]), 0)</f>
        <v>4.9989956192398859</v>
      </c>
    </row>
    <row r="337" spans="1:21" x14ac:dyDescent="0.3">
      <c r="A337">
        <v>687330</v>
      </c>
      <c r="B337" s="1" t="s">
        <v>654</v>
      </c>
      <c r="C337" s="1" t="s">
        <v>655</v>
      </c>
      <c r="D337" s="2">
        <v>29969</v>
      </c>
      <c r="E337" s="1" t="s">
        <v>307</v>
      </c>
      <c r="F337" s="1" t="s">
        <v>30</v>
      </c>
      <c r="G337" s="1" t="s">
        <v>102</v>
      </c>
      <c r="H337" s="1" t="s">
        <v>127</v>
      </c>
      <c r="I337" s="1" t="s">
        <v>50</v>
      </c>
      <c r="J337">
        <v>80457</v>
      </c>
      <c r="K337">
        <v>0</v>
      </c>
      <c r="L337">
        <v>0</v>
      </c>
      <c r="M337">
        <v>0</v>
      </c>
      <c r="N337">
        <v>3</v>
      </c>
      <c r="O337" s="1" t="s">
        <v>32</v>
      </c>
      <c r="P337">
        <v>0</v>
      </c>
      <c r="Q337">
        <v>1</v>
      </c>
      <c r="R337">
        <v>1</v>
      </c>
      <c r="S337">
        <v>0</v>
      </c>
      <c r="T337">
        <v>0</v>
      </c>
      <c r="U337">
        <f>IF(openpolis_patrimoni_trasparenti_anno_2014[[#This Row],[totale_730_dichiarante]]&lt;&gt;0,LOG10(openpolis_patrimoni_trasparenti_anno_2014[[#This Row],[totale_730_dichiarante]]), 0)</f>
        <v>4.9055638349996507</v>
      </c>
    </row>
    <row r="338" spans="1:21" x14ac:dyDescent="0.3">
      <c r="A338">
        <v>1760</v>
      </c>
      <c r="B338" s="1" t="s">
        <v>656</v>
      </c>
      <c r="C338" s="1" t="s">
        <v>657</v>
      </c>
      <c r="D338" s="2">
        <v>21513</v>
      </c>
      <c r="E338" s="1" t="s">
        <v>136</v>
      </c>
      <c r="F338" s="1" t="s">
        <v>30</v>
      </c>
      <c r="G338" s="1" t="s">
        <v>24</v>
      </c>
      <c r="H338" s="1" t="s">
        <v>24</v>
      </c>
      <c r="I338" s="1" t="s">
        <v>118</v>
      </c>
      <c r="J338">
        <v>161777</v>
      </c>
      <c r="K338">
        <v>0</v>
      </c>
      <c r="L338">
        <v>0</v>
      </c>
      <c r="M338">
        <v>0</v>
      </c>
      <c r="N338">
        <v>3</v>
      </c>
      <c r="O338" s="1" t="s">
        <v>32</v>
      </c>
      <c r="P338">
        <v>20</v>
      </c>
      <c r="Q338">
        <v>0</v>
      </c>
      <c r="R338">
        <v>1</v>
      </c>
      <c r="S338">
        <v>0</v>
      </c>
      <c r="T338">
        <v>0</v>
      </c>
      <c r="U338">
        <f>IF(openpolis_patrimoni_trasparenti_anno_2014[[#This Row],[totale_730_dichiarante]]&lt;&gt;0,LOG10(openpolis_patrimoni_trasparenti_anno_2014[[#This Row],[totale_730_dichiarante]]), 0)</f>
        <v>5.2089167775784349</v>
      </c>
    </row>
    <row r="339" spans="1:21" x14ac:dyDescent="0.3">
      <c r="A339">
        <v>685895</v>
      </c>
      <c r="B339" s="1" t="s">
        <v>44</v>
      </c>
      <c r="C339" s="1" t="s">
        <v>658</v>
      </c>
      <c r="D339" s="2">
        <v>17444</v>
      </c>
      <c r="E339" s="1" t="s">
        <v>35</v>
      </c>
      <c r="F339" s="1" t="s">
        <v>30</v>
      </c>
      <c r="G339" s="1" t="s">
        <v>25</v>
      </c>
      <c r="H339" s="1" t="s">
        <v>68</v>
      </c>
      <c r="I339" s="1" t="s">
        <v>200</v>
      </c>
      <c r="J339">
        <v>1546828</v>
      </c>
      <c r="K339">
        <v>0</v>
      </c>
      <c r="L339">
        <v>0</v>
      </c>
      <c r="M339">
        <v>0</v>
      </c>
      <c r="N339">
        <v>3</v>
      </c>
      <c r="O339" s="1" t="s">
        <v>32</v>
      </c>
      <c r="P339">
        <v>8</v>
      </c>
      <c r="Q339">
        <v>2</v>
      </c>
      <c r="R339">
        <v>2</v>
      </c>
      <c r="S339">
        <v>23</v>
      </c>
      <c r="T339">
        <v>23</v>
      </c>
      <c r="U339">
        <f>IF(openpolis_patrimoni_trasparenti_anno_2014[[#This Row],[totale_730_dichiarante]]&lt;&gt;0,LOG10(openpolis_patrimoni_trasparenti_anno_2014[[#This Row],[totale_730_dichiarante]]), 0)</f>
        <v>6.1894420248798436</v>
      </c>
    </row>
    <row r="340" spans="1:21" x14ac:dyDescent="0.3">
      <c r="A340">
        <v>686669</v>
      </c>
      <c r="B340" s="1" t="s">
        <v>659</v>
      </c>
      <c r="C340" s="1" t="s">
        <v>660</v>
      </c>
      <c r="D340" s="2">
        <v>29823</v>
      </c>
      <c r="E340" s="1" t="s">
        <v>35</v>
      </c>
      <c r="F340" s="1" t="s">
        <v>30</v>
      </c>
      <c r="G340" s="1" t="s">
        <v>102</v>
      </c>
      <c r="H340" s="1" t="s">
        <v>102</v>
      </c>
      <c r="I340" s="1" t="s">
        <v>38</v>
      </c>
      <c r="J340">
        <v>82266</v>
      </c>
      <c r="K340">
        <v>0</v>
      </c>
      <c r="L340">
        <v>0</v>
      </c>
      <c r="M340">
        <v>0</v>
      </c>
      <c r="N340">
        <v>3</v>
      </c>
      <c r="O340" s="1" t="s">
        <v>32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f>IF(openpolis_patrimoni_trasparenti_anno_2014[[#This Row],[totale_730_dichiarante]]&lt;&gt;0,LOG10(openpolis_patrimoni_trasparenti_anno_2014[[#This Row],[totale_730_dichiarante]]), 0)</f>
        <v>4.9152203812230519</v>
      </c>
    </row>
    <row r="341" spans="1:21" x14ac:dyDescent="0.3">
      <c r="A341">
        <v>687334</v>
      </c>
      <c r="B341" s="1" t="s">
        <v>305</v>
      </c>
      <c r="C341" s="1" t="s">
        <v>661</v>
      </c>
      <c r="D341" s="2">
        <v>27977</v>
      </c>
      <c r="E341" s="1" t="s">
        <v>49</v>
      </c>
      <c r="F341" s="1" t="s">
        <v>30</v>
      </c>
      <c r="G341" s="1" t="s">
        <v>102</v>
      </c>
      <c r="H341" s="1" t="s">
        <v>102</v>
      </c>
      <c r="I341" s="1" t="s">
        <v>50</v>
      </c>
      <c r="J341">
        <v>83252</v>
      </c>
      <c r="K341">
        <v>0</v>
      </c>
      <c r="L341">
        <v>0</v>
      </c>
      <c r="M341">
        <v>0</v>
      </c>
      <c r="N341">
        <v>3</v>
      </c>
      <c r="O341" s="1" t="s">
        <v>32</v>
      </c>
      <c r="P341">
        <v>8</v>
      </c>
      <c r="Q341">
        <v>0</v>
      </c>
      <c r="R341">
        <v>0</v>
      </c>
      <c r="S341">
        <v>0</v>
      </c>
      <c r="T341">
        <v>0</v>
      </c>
      <c r="U341">
        <f>IF(openpolis_patrimoni_trasparenti_anno_2014[[#This Row],[totale_730_dichiarante]]&lt;&gt;0,LOG10(openpolis_patrimoni_trasparenti_anno_2014[[#This Row],[totale_730_dichiarante]]), 0)</f>
        <v>4.9203946755540988</v>
      </c>
    </row>
    <row r="342" spans="1:21" x14ac:dyDescent="0.3">
      <c r="A342">
        <v>332948</v>
      </c>
      <c r="B342" s="1" t="s">
        <v>662</v>
      </c>
      <c r="C342" s="1" t="s">
        <v>663</v>
      </c>
      <c r="D342" s="2">
        <v>23111</v>
      </c>
      <c r="E342" s="1" t="s">
        <v>29</v>
      </c>
      <c r="F342" s="1" t="s">
        <v>30</v>
      </c>
      <c r="G342" s="1" t="s">
        <v>36</v>
      </c>
      <c r="H342" s="1" t="s">
        <v>168</v>
      </c>
      <c r="I342" s="1" t="s">
        <v>72</v>
      </c>
      <c r="J342">
        <v>100959</v>
      </c>
      <c r="K342">
        <v>0</v>
      </c>
      <c r="L342">
        <v>0</v>
      </c>
      <c r="M342">
        <v>0</v>
      </c>
      <c r="N342">
        <v>3</v>
      </c>
      <c r="O342" s="1" t="s">
        <v>32</v>
      </c>
      <c r="P342">
        <v>6</v>
      </c>
      <c r="Q342">
        <v>12</v>
      </c>
      <c r="R342">
        <v>2</v>
      </c>
      <c r="S342">
        <v>0</v>
      </c>
      <c r="T342">
        <v>0</v>
      </c>
      <c r="U342">
        <f>IF(openpolis_patrimoni_trasparenti_anno_2014[[#This Row],[totale_730_dichiarante]]&lt;&gt;0,LOG10(openpolis_patrimoni_trasparenti_anno_2014[[#This Row],[totale_730_dichiarante]]), 0)</f>
        <v>5.0041450402297665</v>
      </c>
    </row>
    <row r="343" spans="1:21" x14ac:dyDescent="0.3">
      <c r="A343">
        <v>685890</v>
      </c>
      <c r="B343" s="1" t="s">
        <v>664</v>
      </c>
      <c r="C343" s="1" t="s">
        <v>665</v>
      </c>
      <c r="D343" s="2">
        <v>27074</v>
      </c>
      <c r="E343" s="1" t="s">
        <v>666</v>
      </c>
      <c r="F343" s="1" t="s">
        <v>30</v>
      </c>
      <c r="G343" s="1" t="s">
        <v>25</v>
      </c>
      <c r="H343" s="1" t="s">
        <v>68</v>
      </c>
      <c r="I343" s="1" t="s">
        <v>58</v>
      </c>
      <c r="J343">
        <v>172224</v>
      </c>
      <c r="K343">
        <v>-17025</v>
      </c>
      <c r="L343">
        <v>0</v>
      </c>
      <c r="M343">
        <v>0</v>
      </c>
      <c r="N343">
        <v>3</v>
      </c>
      <c r="O343" s="1" t="s">
        <v>32</v>
      </c>
      <c r="P343">
        <v>7</v>
      </c>
      <c r="Q343">
        <v>0</v>
      </c>
      <c r="R343">
        <v>2</v>
      </c>
      <c r="S343">
        <v>0</v>
      </c>
      <c r="T343">
        <v>0</v>
      </c>
      <c r="U343">
        <f>IF(openpolis_patrimoni_trasparenti_anno_2014[[#This Row],[totale_730_dichiarante]]&lt;&gt;0,LOG10(openpolis_patrimoni_trasparenti_anno_2014[[#This Row],[totale_730_dichiarante]]), 0)</f>
        <v>5.2360936717476418</v>
      </c>
    </row>
    <row r="344" spans="1:21" x14ac:dyDescent="0.3">
      <c r="A344">
        <v>332944</v>
      </c>
      <c r="B344" s="1" t="s">
        <v>319</v>
      </c>
      <c r="C344" s="1" t="s">
        <v>667</v>
      </c>
      <c r="D344" s="2">
        <v>27776</v>
      </c>
      <c r="E344" s="1" t="s">
        <v>156</v>
      </c>
      <c r="F344" s="1" t="s">
        <v>30</v>
      </c>
      <c r="G344" s="1" t="s">
        <v>24</v>
      </c>
      <c r="H344" s="1" t="s">
        <v>24</v>
      </c>
      <c r="I344" s="1" t="s">
        <v>173</v>
      </c>
      <c r="J344">
        <v>88214</v>
      </c>
      <c r="K344">
        <v>116340</v>
      </c>
      <c r="L344">
        <v>0</v>
      </c>
      <c r="M344">
        <v>0</v>
      </c>
      <c r="N344">
        <v>3</v>
      </c>
      <c r="O344" s="1" t="s">
        <v>32</v>
      </c>
      <c r="P344">
        <v>0</v>
      </c>
      <c r="Q344">
        <v>0</v>
      </c>
      <c r="R344">
        <v>4</v>
      </c>
      <c r="S344">
        <v>0</v>
      </c>
      <c r="T344">
        <v>0</v>
      </c>
      <c r="U344">
        <f>IF(openpolis_patrimoni_trasparenti_anno_2014[[#This Row],[totale_730_dichiarante]]&lt;&gt;0,LOG10(openpolis_patrimoni_trasparenti_anno_2014[[#This Row],[totale_730_dichiarante]]), 0)</f>
        <v>4.9455375152933652</v>
      </c>
    </row>
    <row r="345" spans="1:21" x14ac:dyDescent="0.3">
      <c r="A345">
        <v>288027</v>
      </c>
      <c r="B345" s="1" t="s">
        <v>141</v>
      </c>
      <c r="C345" s="1" t="s">
        <v>668</v>
      </c>
      <c r="D345" s="2">
        <v>22126</v>
      </c>
      <c r="E345" s="1" t="s">
        <v>41</v>
      </c>
      <c r="F345" s="1" t="s">
        <v>30</v>
      </c>
      <c r="G345" s="1" t="s">
        <v>24</v>
      </c>
      <c r="H345" s="1" t="s">
        <v>24</v>
      </c>
      <c r="I345" s="1" t="s">
        <v>360</v>
      </c>
      <c r="J345">
        <v>103654</v>
      </c>
      <c r="K345">
        <v>0</v>
      </c>
      <c r="L345">
        <v>0</v>
      </c>
      <c r="M345">
        <v>0</v>
      </c>
      <c r="N345">
        <v>3</v>
      </c>
      <c r="O345" s="1" t="s">
        <v>32</v>
      </c>
      <c r="P345">
        <v>6</v>
      </c>
      <c r="Q345">
        <v>0</v>
      </c>
      <c r="R345">
        <v>4</v>
      </c>
      <c r="S345">
        <v>0</v>
      </c>
      <c r="T345">
        <v>0</v>
      </c>
      <c r="U345">
        <f>IF(openpolis_patrimoni_trasparenti_anno_2014[[#This Row],[totale_730_dichiarante]]&lt;&gt;0,LOG10(openpolis_patrimoni_trasparenti_anno_2014[[#This Row],[totale_730_dichiarante]]), 0)</f>
        <v>5.0155860661443841</v>
      </c>
    </row>
    <row r="346" spans="1:21" x14ac:dyDescent="0.3">
      <c r="A346">
        <v>776</v>
      </c>
      <c r="B346" s="1" t="s">
        <v>669</v>
      </c>
      <c r="C346" s="1" t="s">
        <v>670</v>
      </c>
      <c r="D346" s="2">
        <v>19035</v>
      </c>
      <c r="E346" s="1" t="s">
        <v>22</v>
      </c>
      <c r="F346" s="1" t="s">
        <v>25</v>
      </c>
      <c r="G346" s="1" t="s">
        <v>25</v>
      </c>
      <c r="H346" s="1" t="s">
        <v>25</v>
      </c>
      <c r="I346" s="1" t="s">
        <v>25</v>
      </c>
      <c r="J346">
        <v>45957</v>
      </c>
      <c r="K346">
        <v>0</v>
      </c>
      <c r="L346">
        <v>0</v>
      </c>
      <c r="M346">
        <v>0</v>
      </c>
      <c r="N346">
        <v>3</v>
      </c>
      <c r="O346" s="1" t="s">
        <v>61</v>
      </c>
      <c r="P346">
        <v>1</v>
      </c>
      <c r="Q346">
        <v>0</v>
      </c>
      <c r="R346">
        <v>1</v>
      </c>
      <c r="S346">
        <v>0</v>
      </c>
      <c r="T346">
        <v>0</v>
      </c>
      <c r="U346">
        <f>IF(openpolis_patrimoni_trasparenti_anno_2014[[#This Row],[totale_730_dichiarante]]&lt;&gt;0,LOG10(openpolis_patrimoni_trasparenti_anno_2014[[#This Row],[totale_730_dichiarante]]), 0)</f>
        <v>4.662351670887225</v>
      </c>
    </row>
    <row r="347" spans="1:21" x14ac:dyDescent="0.3">
      <c r="A347">
        <v>332942</v>
      </c>
      <c r="B347" s="1" t="s">
        <v>44</v>
      </c>
      <c r="C347" s="1" t="s">
        <v>671</v>
      </c>
      <c r="D347" s="2">
        <v>18378</v>
      </c>
      <c r="E347" s="1" t="s">
        <v>140</v>
      </c>
      <c r="F347" s="1" t="s">
        <v>30</v>
      </c>
      <c r="G347" s="1" t="s">
        <v>36</v>
      </c>
      <c r="H347" s="1" t="s">
        <v>37</v>
      </c>
      <c r="I347" s="1" t="s">
        <v>89</v>
      </c>
      <c r="J347">
        <v>92028</v>
      </c>
      <c r="K347">
        <v>0</v>
      </c>
      <c r="L347">
        <v>0</v>
      </c>
      <c r="M347">
        <v>0</v>
      </c>
      <c r="N347">
        <v>3</v>
      </c>
      <c r="O347" s="1" t="s">
        <v>32</v>
      </c>
      <c r="P347">
        <v>6</v>
      </c>
      <c r="Q347">
        <v>0</v>
      </c>
      <c r="R347">
        <v>2</v>
      </c>
      <c r="S347">
        <v>0</v>
      </c>
      <c r="T347">
        <v>0</v>
      </c>
      <c r="U347">
        <f>IF(openpolis_patrimoni_trasparenti_anno_2014[[#This Row],[totale_730_dichiarante]]&lt;&gt;0,LOG10(openpolis_patrimoni_trasparenti_anno_2014[[#This Row],[totale_730_dichiarante]]), 0)</f>
        <v>4.9639199838172567</v>
      </c>
    </row>
    <row r="348" spans="1:21" x14ac:dyDescent="0.3">
      <c r="A348">
        <v>316193</v>
      </c>
      <c r="B348" s="1" t="s">
        <v>162</v>
      </c>
      <c r="C348" s="1" t="s">
        <v>672</v>
      </c>
      <c r="D348" s="2">
        <v>22648</v>
      </c>
      <c r="E348" s="1" t="s">
        <v>41</v>
      </c>
      <c r="F348" s="1" t="s">
        <v>30</v>
      </c>
      <c r="G348" s="1" t="s">
        <v>24</v>
      </c>
      <c r="H348" s="1" t="s">
        <v>24</v>
      </c>
      <c r="I348" s="1" t="s">
        <v>31</v>
      </c>
      <c r="J348">
        <v>248075</v>
      </c>
      <c r="K348">
        <v>0</v>
      </c>
      <c r="L348">
        <v>0</v>
      </c>
      <c r="M348">
        <v>0</v>
      </c>
      <c r="N348">
        <v>3</v>
      </c>
      <c r="O348" s="1" t="s">
        <v>32</v>
      </c>
      <c r="P348">
        <v>26</v>
      </c>
      <c r="Q348">
        <v>10</v>
      </c>
      <c r="R348">
        <v>2</v>
      </c>
      <c r="S348">
        <v>0</v>
      </c>
      <c r="T348">
        <v>0</v>
      </c>
      <c r="U348">
        <f>IF(openpolis_patrimoni_trasparenti_anno_2014[[#This Row],[totale_730_dichiarante]]&lt;&gt;0,LOG10(openpolis_patrimoni_trasparenti_anno_2014[[#This Row],[totale_730_dichiarante]]), 0)</f>
        <v>5.3945830000275103</v>
      </c>
    </row>
    <row r="349" spans="1:21" x14ac:dyDescent="0.3">
      <c r="A349">
        <v>686507</v>
      </c>
      <c r="B349" s="1" t="s">
        <v>265</v>
      </c>
      <c r="C349" s="1" t="s">
        <v>673</v>
      </c>
      <c r="D349" s="2">
        <v>27712</v>
      </c>
      <c r="E349" s="1" t="s">
        <v>63</v>
      </c>
      <c r="F349" s="1" t="s">
        <v>30</v>
      </c>
      <c r="G349" s="1" t="s">
        <v>102</v>
      </c>
      <c r="H349" s="1" t="s">
        <v>102</v>
      </c>
      <c r="I349" s="1" t="s">
        <v>89</v>
      </c>
      <c r="J349">
        <v>78230</v>
      </c>
      <c r="K349">
        <v>0</v>
      </c>
      <c r="L349">
        <v>0</v>
      </c>
      <c r="M349">
        <v>0</v>
      </c>
      <c r="N349">
        <v>3</v>
      </c>
      <c r="O349" s="1" t="s">
        <v>32</v>
      </c>
      <c r="P349">
        <v>0</v>
      </c>
      <c r="Q349">
        <v>0</v>
      </c>
      <c r="R349">
        <v>1</v>
      </c>
      <c r="S349">
        <v>0</v>
      </c>
      <c r="T349">
        <v>0</v>
      </c>
      <c r="U349">
        <f>IF(openpolis_patrimoni_trasparenti_anno_2014[[#This Row],[totale_730_dichiarante]]&lt;&gt;0,LOG10(openpolis_patrimoni_trasparenti_anno_2014[[#This Row],[totale_730_dichiarante]]), 0)</f>
        <v>4.8933733302460247</v>
      </c>
    </row>
    <row r="350" spans="1:21" x14ac:dyDescent="0.3">
      <c r="A350">
        <v>8446</v>
      </c>
      <c r="B350" s="1" t="s">
        <v>674</v>
      </c>
      <c r="C350" s="1" t="s">
        <v>675</v>
      </c>
      <c r="D350" s="2">
        <v>27198</v>
      </c>
      <c r="E350" s="1" t="s">
        <v>249</v>
      </c>
      <c r="F350" s="1" t="s">
        <v>30</v>
      </c>
      <c r="G350" s="1" t="s">
        <v>24</v>
      </c>
      <c r="H350" s="1" t="s">
        <v>24</v>
      </c>
      <c r="I350" s="1" t="s">
        <v>132</v>
      </c>
      <c r="J350">
        <v>99528</v>
      </c>
      <c r="K350">
        <v>0</v>
      </c>
      <c r="L350">
        <v>0</v>
      </c>
      <c r="M350">
        <v>0</v>
      </c>
      <c r="N350">
        <v>3</v>
      </c>
      <c r="O350" s="1" t="s">
        <v>32</v>
      </c>
      <c r="P350">
        <v>0</v>
      </c>
      <c r="Q350">
        <v>0</v>
      </c>
      <c r="R350">
        <v>1</v>
      </c>
      <c r="S350">
        <v>0</v>
      </c>
      <c r="T350">
        <v>1</v>
      </c>
      <c r="U350">
        <f>IF(openpolis_patrimoni_trasparenti_anno_2014[[#This Row],[totale_730_dichiarante]]&lt;&gt;0,LOG10(openpolis_patrimoni_trasparenti_anno_2014[[#This Row],[totale_730_dichiarante]]), 0)</f>
        <v>4.9979452770756243</v>
      </c>
    </row>
    <row r="351" spans="1:21" x14ac:dyDescent="0.3">
      <c r="A351">
        <v>686283</v>
      </c>
      <c r="B351" s="1" t="s">
        <v>674</v>
      </c>
      <c r="C351" s="1" t="s">
        <v>676</v>
      </c>
      <c r="D351" s="2">
        <v>31789</v>
      </c>
      <c r="E351" s="1" t="s">
        <v>114</v>
      </c>
      <c r="F351" s="1" t="s">
        <v>30</v>
      </c>
      <c r="G351" s="1" t="s">
        <v>102</v>
      </c>
      <c r="H351" s="1" t="s">
        <v>102</v>
      </c>
      <c r="I351" s="1" t="s">
        <v>31</v>
      </c>
      <c r="J351">
        <v>78229.8</v>
      </c>
      <c r="K351">
        <v>0</v>
      </c>
      <c r="L351">
        <v>0</v>
      </c>
      <c r="M351">
        <v>0</v>
      </c>
      <c r="N351">
        <v>3</v>
      </c>
      <c r="O351" s="1" t="s">
        <v>90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f>IF(openpolis_patrimoni_trasparenti_anno_2014[[#This Row],[totale_730_dichiarante]]&lt;&gt;0,LOG10(openpolis_patrimoni_trasparenti_anno_2014[[#This Row],[totale_730_dichiarante]]), 0)</f>
        <v>4.893372219942977</v>
      </c>
    </row>
    <row r="352" spans="1:21" x14ac:dyDescent="0.3">
      <c r="A352">
        <v>304620</v>
      </c>
      <c r="B352" s="1" t="s">
        <v>517</v>
      </c>
      <c r="C352" s="1" t="s">
        <v>676</v>
      </c>
      <c r="D352" s="2">
        <v>28019</v>
      </c>
      <c r="E352" s="1" t="s">
        <v>49</v>
      </c>
      <c r="F352" s="1" t="s">
        <v>30</v>
      </c>
      <c r="G352" s="1" t="s">
        <v>24</v>
      </c>
      <c r="H352" s="1" t="s">
        <v>24</v>
      </c>
      <c r="I352" s="1" t="s">
        <v>264</v>
      </c>
      <c r="J352">
        <v>100120</v>
      </c>
      <c r="K352">
        <v>0</v>
      </c>
      <c r="L352">
        <v>0</v>
      </c>
      <c r="M352">
        <v>0</v>
      </c>
      <c r="N352">
        <v>3</v>
      </c>
      <c r="O352" s="1" t="s">
        <v>32</v>
      </c>
      <c r="P352">
        <v>1</v>
      </c>
      <c r="Q352">
        <v>0</v>
      </c>
      <c r="R352">
        <v>1</v>
      </c>
      <c r="S352">
        <v>0</v>
      </c>
      <c r="T352">
        <v>0</v>
      </c>
      <c r="U352">
        <f>IF(openpolis_patrimoni_trasparenti_anno_2014[[#This Row],[totale_730_dichiarante]]&lt;&gt;0,LOG10(openpolis_patrimoni_trasparenti_anno_2014[[#This Row],[totale_730_dichiarante]]), 0)</f>
        <v>5.0005208409361854</v>
      </c>
    </row>
    <row r="353" spans="1:21" x14ac:dyDescent="0.3">
      <c r="A353">
        <v>685683</v>
      </c>
      <c r="B353" s="1" t="s">
        <v>65</v>
      </c>
      <c r="C353" s="1" t="s">
        <v>677</v>
      </c>
      <c r="D353" s="2">
        <v>26940</v>
      </c>
      <c r="E353" s="1" t="s">
        <v>29</v>
      </c>
      <c r="F353" s="1" t="s">
        <v>30</v>
      </c>
      <c r="G353" s="1" t="s">
        <v>102</v>
      </c>
      <c r="H353" s="1" t="s">
        <v>102</v>
      </c>
      <c r="I353" s="1" t="s">
        <v>76</v>
      </c>
      <c r="J353">
        <v>84237</v>
      </c>
      <c r="K353">
        <v>23740</v>
      </c>
      <c r="L353">
        <v>0</v>
      </c>
      <c r="M353">
        <v>0</v>
      </c>
      <c r="N353">
        <v>1</v>
      </c>
      <c r="O353" s="1" t="s">
        <v>119</v>
      </c>
      <c r="P353">
        <v>4</v>
      </c>
      <c r="Q353">
        <v>0</v>
      </c>
      <c r="R353">
        <v>1</v>
      </c>
      <c r="S353">
        <v>0</v>
      </c>
      <c r="T353">
        <v>0</v>
      </c>
      <c r="U353">
        <f>IF(openpolis_patrimoni_trasparenti_anno_2014[[#This Row],[totale_730_dichiarante]]&lt;&gt;0,LOG10(openpolis_patrimoni_trasparenti_anno_2014[[#This Row],[totale_730_dichiarante]]), 0)</f>
        <v>4.9255028915743226</v>
      </c>
    </row>
    <row r="354" spans="1:21" x14ac:dyDescent="0.3">
      <c r="A354">
        <v>5000</v>
      </c>
      <c r="B354" s="1" t="s">
        <v>678</v>
      </c>
      <c r="C354" s="1" t="s">
        <v>679</v>
      </c>
      <c r="D354" s="2">
        <v>24526</v>
      </c>
      <c r="E354" s="1" t="s">
        <v>136</v>
      </c>
      <c r="F354" s="1" t="s">
        <v>30</v>
      </c>
      <c r="G354" s="1" t="s">
        <v>24</v>
      </c>
      <c r="H354" s="1" t="s">
        <v>54</v>
      </c>
      <c r="I354" s="1" t="s">
        <v>264</v>
      </c>
      <c r="J354">
        <v>98471</v>
      </c>
      <c r="K354">
        <v>0</v>
      </c>
      <c r="L354">
        <v>0</v>
      </c>
      <c r="M354">
        <v>0</v>
      </c>
      <c r="N354">
        <v>2</v>
      </c>
      <c r="O354" s="1" t="s">
        <v>43</v>
      </c>
      <c r="P354">
        <v>4</v>
      </c>
      <c r="Q354">
        <v>0</v>
      </c>
      <c r="R354">
        <v>1</v>
      </c>
      <c r="S354">
        <v>1</v>
      </c>
      <c r="T354">
        <v>1</v>
      </c>
      <c r="U354">
        <f>IF(openpolis_patrimoni_trasparenti_anno_2014[[#This Row],[totale_730_dichiarante]]&lt;&gt;0,LOG10(openpolis_patrimoni_trasparenti_anno_2014[[#This Row],[totale_730_dichiarante]]), 0)</f>
        <v>4.9933083483213911</v>
      </c>
    </row>
    <row r="355" spans="1:21" x14ac:dyDescent="0.3">
      <c r="A355">
        <v>687299</v>
      </c>
      <c r="B355" s="1" t="s">
        <v>680</v>
      </c>
      <c r="C355" s="1" t="s">
        <v>681</v>
      </c>
      <c r="D355" s="2">
        <v>27487</v>
      </c>
      <c r="E355" s="1" t="s">
        <v>41</v>
      </c>
      <c r="F355" s="1" t="s">
        <v>30</v>
      </c>
      <c r="G355" s="1" t="s">
        <v>102</v>
      </c>
      <c r="H355" s="1" t="s">
        <v>54</v>
      </c>
      <c r="I355" s="1" t="s">
        <v>55</v>
      </c>
      <c r="J355">
        <v>80885</v>
      </c>
      <c r="K355">
        <v>0</v>
      </c>
      <c r="L355">
        <v>0</v>
      </c>
      <c r="M355">
        <v>0</v>
      </c>
      <c r="N355">
        <v>3</v>
      </c>
      <c r="O355" s="1" t="s">
        <v>32</v>
      </c>
      <c r="P355">
        <v>6</v>
      </c>
      <c r="Q355">
        <v>0</v>
      </c>
      <c r="R355">
        <v>1</v>
      </c>
      <c r="S355">
        <v>0</v>
      </c>
      <c r="T355">
        <v>0</v>
      </c>
      <c r="U355">
        <f>IF(openpolis_patrimoni_trasparenti_anno_2014[[#This Row],[totale_730_dichiarante]]&lt;&gt;0,LOG10(openpolis_patrimoni_trasparenti_anno_2014[[#This Row],[totale_730_dichiarante]]), 0)</f>
        <v>4.9078679898293851</v>
      </c>
    </row>
    <row r="356" spans="1:21" x14ac:dyDescent="0.3">
      <c r="A356">
        <v>332938</v>
      </c>
      <c r="B356" s="1" t="s">
        <v>310</v>
      </c>
      <c r="C356" s="1" t="s">
        <v>682</v>
      </c>
      <c r="D356" s="2">
        <v>21833</v>
      </c>
      <c r="E356" s="1" t="s">
        <v>22</v>
      </c>
      <c r="F356" s="1" t="s">
        <v>30</v>
      </c>
      <c r="G356" s="1" t="s">
        <v>24</v>
      </c>
      <c r="H356" s="1" t="s">
        <v>24</v>
      </c>
      <c r="I356" s="1" t="s">
        <v>31</v>
      </c>
      <c r="J356">
        <v>93285</v>
      </c>
      <c r="K356">
        <v>25008</v>
      </c>
      <c r="L356">
        <v>0</v>
      </c>
      <c r="M356">
        <v>0</v>
      </c>
      <c r="N356">
        <v>3</v>
      </c>
      <c r="O356" s="1" t="s">
        <v>32</v>
      </c>
      <c r="P356">
        <v>1</v>
      </c>
      <c r="Q356">
        <v>0</v>
      </c>
      <c r="R356">
        <v>1</v>
      </c>
      <c r="S356">
        <v>0</v>
      </c>
      <c r="T356">
        <v>0</v>
      </c>
      <c r="U356">
        <f>IF(openpolis_patrimoni_trasparenti_anno_2014[[#This Row],[totale_730_dichiarante]]&lt;&gt;0,LOG10(openpolis_patrimoni_trasparenti_anno_2014[[#This Row],[totale_730_dichiarante]]), 0)</f>
        <v>4.9698118158692042</v>
      </c>
    </row>
    <row r="357" spans="1:21" x14ac:dyDescent="0.3">
      <c r="A357">
        <v>686336</v>
      </c>
      <c r="B357" s="1" t="s">
        <v>646</v>
      </c>
      <c r="C357" s="1" t="s">
        <v>683</v>
      </c>
      <c r="D357" s="2">
        <v>30901</v>
      </c>
      <c r="E357" s="1" t="s">
        <v>307</v>
      </c>
      <c r="F357" s="1" t="s">
        <v>30</v>
      </c>
      <c r="G357" s="1" t="s">
        <v>102</v>
      </c>
      <c r="H357" s="1" t="s">
        <v>102</v>
      </c>
      <c r="I357" s="1" t="s">
        <v>64</v>
      </c>
      <c r="J357">
        <v>81832</v>
      </c>
      <c r="K357">
        <v>0</v>
      </c>
      <c r="L357">
        <v>0</v>
      </c>
      <c r="M357">
        <v>0</v>
      </c>
      <c r="N357">
        <v>2</v>
      </c>
      <c r="O357" s="1" t="s">
        <v>43</v>
      </c>
      <c r="P357">
        <v>0</v>
      </c>
      <c r="Q357">
        <v>0</v>
      </c>
      <c r="R357">
        <v>1</v>
      </c>
      <c r="S357">
        <v>0</v>
      </c>
      <c r="T357">
        <v>0</v>
      </c>
      <c r="U357">
        <f>IF(openpolis_patrimoni_trasparenti_anno_2014[[#This Row],[totale_730_dichiarante]]&lt;&gt;0,LOG10(openpolis_patrimoni_trasparenti_anno_2014[[#This Row],[totale_730_dichiarante]]), 0)</f>
        <v>4.9129231656005068</v>
      </c>
    </row>
    <row r="358" spans="1:21" x14ac:dyDescent="0.3">
      <c r="A358">
        <v>686011</v>
      </c>
      <c r="B358" s="1" t="s">
        <v>211</v>
      </c>
      <c r="C358" s="1" t="s">
        <v>684</v>
      </c>
      <c r="D358" s="2">
        <v>29696</v>
      </c>
      <c r="E358" s="1" t="s">
        <v>146</v>
      </c>
      <c r="F358" s="1" t="s">
        <v>30</v>
      </c>
      <c r="G358" s="1" t="s">
        <v>102</v>
      </c>
      <c r="H358" s="1" t="s">
        <v>102</v>
      </c>
      <c r="I358" s="1" t="s">
        <v>132</v>
      </c>
      <c r="J358">
        <v>81572</v>
      </c>
      <c r="K358">
        <v>0</v>
      </c>
      <c r="L358">
        <v>0</v>
      </c>
      <c r="M358">
        <v>0</v>
      </c>
      <c r="N358">
        <v>2</v>
      </c>
      <c r="O358" s="1" t="s">
        <v>43</v>
      </c>
      <c r="P358">
        <v>1</v>
      </c>
      <c r="Q358">
        <v>0</v>
      </c>
      <c r="R358">
        <v>1</v>
      </c>
      <c r="S358">
        <v>0</v>
      </c>
      <c r="T358">
        <v>0</v>
      </c>
      <c r="U358">
        <f>IF(openpolis_patrimoni_trasparenti_anno_2014[[#This Row],[totale_730_dichiarante]]&lt;&gt;0,LOG10(openpolis_patrimoni_trasparenti_anno_2014[[#This Row],[totale_730_dichiarante]]), 0)</f>
        <v>4.9115411105640661</v>
      </c>
    </row>
    <row r="359" spans="1:21" x14ac:dyDescent="0.3">
      <c r="A359">
        <v>313252</v>
      </c>
      <c r="B359" s="1" t="s">
        <v>685</v>
      </c>
      <c r="C359" s="1" t="s">
        <v>686</v>
      </c>
      <c r="D359" s="2">
        <v>27718</v>
      </c>
      <c r="E359" s="1" t="s">
        <v>49</v>
      </c>
      <c r="F359" s="1" t="s">
        <v>30</v>
      </c>
      <c r="G359" s="1" t="s">
        <v>24</v>
      </c>
      <c r="H359" s="1" t="s">
        <v>24</v>
      </c>
      <c r="I359" s="1" t="s">
        <v>50</v>
      </c>
      <c r="J359">
        <v>78230</v>
      </c>
      <c r="K359">
        <v>0</v>
      </c>
      <c r="L359">
        <v>0</v>
      </c>
      <c r="M359">
        <v>0</v>
      </c>
      <c r="N359">
        <v>3</v>
      </c>
      <c r="O359" s="1" t="s">
        <v>32</v>
      </c>
      <c r="P359">
        <v>0</v>
      </c>
      <c r="Q359">
        <v>0</v>
      </c>
      <c r="R359">
        <v>1</v>
      </c>
      <c r="S359">
        <v>0</v>
      </c>
      <c r="T359">
        <v>0</v>
      </c>
      <c r="U359">
        <f>IF(openpolis_patrimoni_trasparenti_anno_2014[[#This Row],[totale_730_dichiarante]]&lt;&gt;0,LOG10(openpolis_patrimoni_trasparenti_anno_2014[[#This Row],[totale_730_dichiarante]]), 0)</f>
        <v>4.8933733302460247</v>
      </c>
    </row>
    <row r="360" spans="1:21" x14ac:dyDescent="0.3">
      <c r="A360">
        <v>686433</v>
      </c>
      <c r="B360" s="1" t="s">
        <v>457</v>
      </c>
      <c r="C360" s="1" t="s">
        <v>687</v>
      </c>
      <c r="D360" s="2">
        <v>30229</v>
      </c>
      <c r="E360" s="1" t="s">
        <v>49</v>
      </c>
      <c r="F360" s="1" t="s">
        <v>30</v>
      </c>
      <c r="G360" s="1" t="s">
        <v>102</v>
      </c>
      <c r="H360" s="1" t="s">
        <v>102</v>
      </c>
      <c r="I360" s="1" t="s">
        <v>58</v>
      </c>
      <c r="J360">
        <v>82762</v>
      </c>
      <c r="K360">
        <v>0</v>
      </c>
      <c r="L360">
        <v>0</v>
      </c>
      <c r="M360">
        <v>0</v>
      </c>
      <c r="N360">
        <v>3</v>
      </c>
      <c r="O360" s="1" t="s">
        <v>32</v>
      </c>
      <c r="P360">
        <v>0</v>
      </c>
      <c r="Q360">
        <v>1</v>
      </c>
      <c r="R360">
        <v>2</v>
      </c>
      <c r="S360">
        <v>0</v>
      </c>
      <c r="T360">
        <v>0</v>
      </c>
      <c r="U360">
        <f>IF(openpolis_patrimoni_trasparenti_anno_2014[[#This Row],[totale_730_dichiarante]]&lt;&gt;0,LOG10(openpolis_patrimoni_trasparenti_anno_2014[[#This Row],[totale_730_dichiarante]]), 0)</f>
        <v>4.9178309771419411</v>
      </c>
    </row>
    <row r="361" spans="1:21" x14ac:dyDescent="0.3">
      <c r="A361">
        <v>322807</v>
      </c>
      <c r="B361" s="1" t="s">
        <v>688</v>
      </c>
      <c r="C361" s="1" t="s">
        <v>689</v>
      </c>
      <c r="D361" s="2">
        <v>24570</v>
      </c>
      <c r="E361" s="1" t="s">
        <v>49</v>
      </c>
      <c r="F361" s="1" t="s">
        <v>30</v>
      </c>
      <c r="G361" s="1" t="s">
        <v>24</v>
      </c>
      <c r="H361" s="1" t="s">
        <v>24</v>
      </c>
      <c r="I361" s="1" t="s">
        <v>159</v>
      </c>
      <c r="J361">
        <v>85172</v>
      </c>
      <c r="K361">
        <v>0</v>
      </c>
      <c r="L361">
        <v>0</v>
      </c>
      <c r="M361">
        <v>0</v>
      </c>
      <c r="N361">
        <v>3</v>
      </c>
      <c r="O361" s="1" t="s">
        <v>32</v>
      </c>
      <c r="P361">
        <v>3</v>
      </c>
      <c r="Q361">
        <v>3</v>
      </c>
      <c r="R361">
        <v>1</v>
      </c>
      <c r="S361">
        <v>0</v>
      </c>
      <c r="T361">
        <v>0</v>
      </c>
      <c r="U361">
        <f>IF(openpolis_patrimoni_trasparenti_anno_2014[[#This Row],[totale_730_dichiarante]]&lt;&gt;0,LOG10(openpolis_patrimoni_trasparenti_anno_2014[[#This Row],[totale_730_dichiarante]]), 0)</f>
        <v>4.9302968454228786</v>
      </c>
    </row>
    <row r="362" spans="1:21" x14ac:dyDescent="0.3">
      <c r="A362">
        <v>685574</v>
      </c>
      <c r="B362" s="1" t="s">
        <v>690</v>
      </c>
      <c r="C362" s="1" t="s">
        <v>691</v>
      </c>
      <c r="D362" s="2">
        <v>25802</v>
      </c>
      <c r="E362" s="1" t="s">
        <v>41</v>
      </c>
      <c r="F362" s="1" t="s">
        <v>30</v>
      </c>
      <c r="G362" s="1" t="s">
        <v>24</v>
      </c>
      <c r="H362" s="1" t="s">
        <v>24</v>
      </c>
      <c r="I362" s="1" t="s">
        <v>264</v>
      </c>
      <c r="J362">
        <v>80600</v>
      </c>
      <c r="K362">
        <v>0</v>
      </c>
      <c r="L362">
        <v>0</v>
      </c>
      <c r="M362">
        <v>0</v>
      </c>
      <c r="N362">
        <v>3</v>
      </c>
      <c r="O362" s="1" t="s">
        <v>32</v>
      </c>
      <c r="P362">
        <v>3</v>
      </c>
      <c r="Q362">
        <v>44</v>
      </c>
      <c r="R362">
        <v>2</v>
      </c>
      <c r="S362">
        <v>0</v>
      </c>
      <c r="T362">
        <v>0</v>
      </c>
      <c r="U362">
        <f>IF(openpolis_patrimoni_trasparenti_anno_2014[[#This Row],[totale_730_dichiarante]]&lt;&gt;0,LOG10(openpolis_patrimoni_trasparenti_anno_2014[[#This Row],[totale_730_dichiarante]]), 0)</f>
        <v>4.9063350418050904</v>
      </c>
    </row>
    <row r="363" spans="1:21" x14ac:dyDescent="0.3">
      <c r="A363">
        <v>4466</v>
      </c>
      <c r="B363" s="1" t="s">
        <v>692</v>
      </c>
      <c r="C363" s="1" t="s">
        <v>693</v>
      </c>
      <c r="D363" s="2">
        <v>21712</v>
      </c>
      <c r="E363" s="1" t="s">
        <v>307</v>
      </c>
      <c r="F363" s="1" t="s">
        <v>30</v>
      </c>
      <c r="G363" s="1" t="s">
        <v>24</v>
      </c>
      <c r="H363" s="1" t="s">
        <v>24</v>
      </c>
      <c r="I363" s="1" t="s">
        <v>194</v>
      </c>
      <c r="J363">
        <v>93873</v>
      </c>
      <c r="K363">
        <v>0</v>
      </c>
      <c r="L363">
        <v>0</v>
      </c>
      <c r="M363">
        <v>0</v>
      </c>
      <c r="N363">
        <v>2</v>
      </c>
      <c r="O363" s="1" t="s">
        <v>43</v>
      </c>
      <c r="P363">
        <v>1</v>
      </c>
      <c r="Q363">
        <v>24</v>
      </c>
      <c r="R363">
        <v>1</v>
      </c>
      <c r="S363">
        <v>1</v>
      </c>
      <c r="T363">
        <v>0</v>
      </c>
      <c r="U363">
        <f>IF(openpolis_patrimoni_trasparenti_anno_2014[[#This Row],[totale_730_dichiarante]]&lt;&gt;0,LOG10(openpolis_patrimoni_trasparenti_anno_2014[[#This Row],[totale_730_dichiarante]]), 0)</f>
        <v>4.9725406973015289</v>
      </c>
    </row>
    <row r="364" spans="1:21" x14ac:dyDescent="0.3">
      <c r="A364">
        <v>686522</v>
      </c>
      <c r="B364" s="1" t="s">
        <v>192</v>
      </c>
      <c r="C364" s="1" t="s">
        <v>694</v>
      </c>
      <c r="D364" s="2">
        <v>21980</v>
      </c>
      <c r="E364" s="1" t="s">
        <v>35</v>
      </c>
      <c r="F364" s="1" t="s">
        <v>30</v>
      </c>
      <c r="G364" s="1" t="s">
        <v>24</v>
      </c>
      <c r="H364" s="1" t="s">
        <v>24</v>
      </c>
      <c r="I364" s="1" t="s">
        <v>169</v>
      </c>
      <c r="J364">
        <v>91347</v>
      </c>
      <c r="K364">
        <v>0</v>
      </c>
      <c r="L364">
        <v>25000</v>
      </c>
      <c r="M364">
        <v>0</v>
      </c>
      <c r="N364">
        <v>2</v>
      </c>
      <c r="O364" s="1" t="s">
        <v>43</v>
      </c>
      <c r="P364">
        <v>1</v>
      </c>
      <c r="Q364">
        <v>0</v>
      </c>
      <c r="R364">
        <v>2</v>
      </c>
      <c r="S364">
        <v>0</v>
      </c>
      <c r="T364">
        <v>0</v>
      </c>
      <c r="U364">
        <f>IF(openpolis_patrimoni_trasparenti_anno_2014[[#This Row],[totale_730_dichiarante]]&lt;&gt;0,LOG10(openpolis_patrimoni_trasparenti_anno_2014[[#This Row],[totale_730_dichiarante]]), 0)</f>
        <v>4.960694288909794</v>
      </c>
    </row>
    <row r="365" spans="1:21" x14ac:dyDescent="0.3">
      <c r="A365">
        <v>4927</v>
      </c>
      <c r="B365" s="1" t="s">
        <v>44</v>
      </c>
      <c r="C365" s="1" t="s">
        <v>680</v>
      </c>
      <c r="D365" s="2">
        <v>24129</v>
      </c>
      <c r="E365" s="1" t="s">
        <v>35</v>
      </c>
      <c r="F365" s="1" t="s">
        <v>30</v>
      </c>
      <c r="G365" s="1" t="s">
        <v>36</v>
      </c>
      <c r="H365" s="1" t="s">
        <v>168</v>
      </c>
      <c r="I365" s="1" t="s">
        <v>76</v>
      </c>
      <c r="J365">
        <v>104791</v>
      </c>
      <c r="K365">
        <v>38233</v>
      </c>
      <c r="L365">
        <v>0</v>
      </c>
      <c r="M365">
        <v>0</v>
      </c>
      <c r="N365">
        <v>1</v>
      </c>
      <c r="O365" s="1" t="s">
        <v>119</v>
      </c>
      <c r="P365">
        <v>4</v>
      </c>
      <c r="Q365">
        <v>4</v>
      </c>
      <c r="R365">
        <v>0</v>
      </c>
      <c r="S365">
        <v>3</v>
      </c>
      <c r="T365">
        <v>1</v>
      </c>
      <c r="U365">
        <f>IF(openpolis_patrimoni_trasparenti_anno_2014[[#This Row],[totale_730_dichiarante]]&lt;&gt;0,LOG10(openpolis_patrimoni_trasparenti_anno_2014[[#This Row],[totale_730_dichiarante]]), 0)</f>
        <v>5.0203239847643104</v>
      </c>
    </row>
    <row r="366" spans="1:21" x14ac:dyDescent="0.3">
      <c r="A366">
        <v>740</v>
      </c>
      <c r="B366" s="1" t="s">
        <v>145</v>
      </c>
      <c r="C366" s="1" t="s">
        <v>695</v>
      </c>
      <c r="D366" s="2">
        <v>17041</v>
      </c>
      <c r="E366" s="1" t="s">
        <v>63</v>
      </c>
      <c r="F366" s="1" t="s">
        <v>30</v>
      </c>
      <c r="G366" s="1" t="s">
        <v>147</v>
      </c>
      <c r="H366" s="1" t="s">
        <v>97</v>
      </c>
      <c r="I366" s="1" t="s">
        <v>46</v>
      </c>
      <c r="J366">
        <v>134075</v>
      </c>
      <c r="K366">
        <v>0</v>
      </c>
      <c r="L366">
        <v>0</v>
      </c>
      <c r="M366">
        <v>0</v>
      </c>
      <c r="N366">
        <v>3</v>
      </c>
      <c r="O366" s="1" t="s">
        <v>32</v>
      </c>
      <c r="P366">
        <v>9</v>
      </c>
      <c r="Q366">
        <v>4</v>
      </c>
      <c r="R366">
        <v>1</v>
      </c>
      <c r="S366">
        <v>1</v>
      </c>
      <c r="T366">
        <v>1</v>
      </c>
      <c r="U366">
        <f>IF(openpolis_patrimoni_trasparenti_anno_2014[[#This Row],[totale_730_dichiarante]]&lt;&gt;0,LOG10(openpolis_patrimoni_trasparenti_anno_2014[[#This Row],[totale_730_dichiarante]]), 0)</f>
        <v>5.1273478056351056</v>
      </c>
    </row>
    <row r="367" spans="1:21" x14ac:dyDescent="0.3">
      <c r="A367">
        <v>687613</v>
      </c>
      <c r="B367" s="1" t="s">
        <v>696</v>
      </c>
      <c r="C367" s="1" t="s">
        <v>697</v>
      </c>
      <c r="D367" s="2">
        <v>28385</v>
      </c>
      <c r="E367" s="1" t="s">
        <v>35</v>
      </c>
      <c r="F367" s="1" t="s">
        <v>30</v>
      </c>
      <c r="G367" s="1" t="s">
        <v>102</v>
      </c>
      <c r="H367" s="1" t="s">
        <v>24</v>
      </c>
      <c r="I367" s="1" t="s">
        <v>430</v>
      </c>
      <c r="J367">
        <v>94218.1</v>
      </c>
      <c r="K367">
        <v>0</v>
      </c>
      <c r="L367">
        <v>0</v>
      </c>
      <c r="M367">
        <v>0</v>
      </c>
      <c r="N367">
        <v>3</v>
      </c>
      <c r="O367" s="1" t="s">
        <v>32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f>IF(openpolis_patrimoni_trasparenti_anno_2014[[#This Row],[totale_730_dichiarante]]&lt;&gt;0,LOG10(openpolis_patrimoni_trasparenti_anno_2014[[#This Row],[totale_730_dichiarante]]), 0)</f>
        <v>4.9741343420181598</v>
      </c>
    </row>
    <row r="368" spans="1:21" x14ac:dyDescent="0.3">
      <c r="A368">
        <v>76488</v>
      </c>
      <c r="B368" s="1" t="s">
        <v>267</v>
      </c>
      <c r="C368" s="1" t="s">
        <v>698</v>
      </c>
      <c r="D368" s="2">
        <v>22633</v>
      </c>
      <c r="E368" s="1" t="s">
        <v>35</v>
      </c>
      <c r="F368" s="1" t="s">
        <v>30</v>
      </c>
      <c r="G368" s="1" t="s">
        <v>36</v>
      </c>
      <c r="H368" s="1" t="s">
        <v>37</v>
      </c>
      <c r="I368" s="1" t="s">
        <v>64</v>
      </c>
      <c r="J368">
        <v>102574</v>
      </c>
      <c r="K368">
        <v>0</v>
      </c>
      <c r="L368">
        <v>0</v>
      </c>
      <c r="M368">
        <v>0</v>
      </c>
      <c r="N368">
        <v>3</v>
      </c>
      <c r="O368" s="1" t="s">
        <v>32</v>
      </c>
      <c r="P368">
        <v>3</v>
      </c>
      <c r="Q368">
        <v>0</v>
      </c>
      <c r="R368">
        <v>0</v>
      </c>
      <c r="S368">
        <v>3</v>
      </c>
      <c r="T368">
        <v>3</v>
      </c>
      <c r="U368">
        <f>IF(openpolis_patrimoni_trasparenti_anno_2014[[#This Row],[totale_730_dichiarante]]&lt;&gt;0,LOG10(openpolis_patrimoni_trasparenti_anno_2014[[#This Row],[totale_730_dichiarante]]), 0)</f>
        <v>5.0110372916969679</v>
      </c>
    </row>
    <row r="369" spans="1:21" x14ac:dyDescent="0.3">
      <c r="A369">
        <v>685811</v>
      </c>
      <c r="B369" s="1" t="s">
        <v>699</v>
      </c>
      <c r="C369" s="1" t="s">
        <v>700</v>
      </c>
      <c r="D369" s="2">
        <v>31178</v>
      </c>
      <c r="E369" s="1" t="s">
        <v>532</v>
      </c>
      <c r="F369" s="1" t="s">
        <v>30</v>
      </c>
      <c r="G369" s="1" t="s">
        <v>102</v>
      </c>
      <c r="H369" s="1" t="s">
        <v>102</v>
      </c>
      <c r="I369" s="1" t="s">
        <v>178</v>
      </c>
      <c r="J369">
        <v>79636</v>
      </c>
      <c r="K369">
        <v>0</v>
      </c>
      <c r="L369">
        <v>0</v>
      </c>
      <c r="M369">
        <v>0</v>
      </c>
      <c r="N369">
        <v>3</v>
      </c>
      <c r="O369" s="1" t="s">
        <v>32</v>
      </c>
      <c r="P369">
        <v>0</v>
      </c>
      <c r="Q369">
        <v>0</v>
      </c>
      <c r="R369">
        <v>1</v>
      </c>
      <c r="S369">
        <v>0</v>
      </c>
      <c r="T369">
        <v>0</v>
      </c>
      <c r="U369">
        <f>IF(openpolis_patrimoni_trasparenti_anno_2014[[#This Row],[totale_730_dichiarante]]&lt;&gt;0,LOG10(openpolis_patrimoni_trasparenti_anno_2014[[#This Row],[totale_730_dichiarante]]), 0)</f>
        <v>4.901109437925502</v>
      </c>
    </row>
    <row r="370" spans="1:21" x14ac:dyDescent="0.3">
      <c r="A370">
        <v>119733</v>
      </c>
      <c r="B370" s="1" t="s">
        <v>51</v>
      </c>
      <c r="C370" s="1" t="s">
        <v>701</v>
      </c>
      <c r="D370" s="2">
        <v>28859</v>
      </c>
      <c r="E370" s="1" t="s">
        <v>49</v>
      </c>
      <c r="F370" s="1" t="s">
        <v>30</v>
      </c>
      <c r="G370" s="1" t="s">
        <v>24</v>
      </c>
      <c r="H370" s="1" t="s">
        <v>24</v>
      </c>
      <c r="I370" s="1" t="s">
        <v>393</v>
      </c>
      <c r="J370">
        <v>88007</v>
      </c>
      <c r="K370">
        <v>0</v>
      </c>
      <c r="L370">
        <v>0</v>
      </c>
      <c r="M370">
        <v>0</v>
      </c>
      <c r="N370">
        <v>3</v>
      </c>
      <c r="O370" s="1" t="s">
        <v>32</v>
      </c>
      <c r="P370">
        <v>4</v>
      </c>
      <c r="Q370">
        <v>0</v>
      </c>
      <c r="R370">
        <v>1</v>
      </c>
      <c r="S370">
        <v>0</v>
      </c>
      <c r="T370">
        <v>0</v>
      </c>
      <c r="U370">
        <f>IF(openpolis_patrimoni_trasparenti_anno_2014[[#This Row],[totale_730_dichiarante]]&lt;&gt;0,LOG10(openpolis_patrimoni_trasparenti_anno_2014[[#This Row],[totale_730_dichiarante]]), 0)</f>
        <v>4.9445172169282161</v>
      </c>
    </row>
    <row r="371" spans="1:21" x14ac:dyDescent="0.3">
      <c r="A371">
        <v>686750</v>
      </c>
      <c r="B371" s="1" t="s">
        <v>702</v>
      </c>
      <c r="C371" s="1" t="s">
        <v>703</v>
      </c>
      <c r="D371" s="2">
        <v>25668</v>
      </c>
      <c r="E371" s="1" t="s">
        <v>63</v>
      </c>
      <c r="F371" s="1" t="s">
        <v>30</v>
      </c>
      <c r="G371" s="1" t="s">
        <v>25</v>
      </c>
      <c r="H371" s="1" t="s">
        <v>68</v>
      </c>
      <c r="I371" s="1" t="s">
        <v>76</v>
      </c>
      <c r="J371">
        <v>131272</v>
      </c>
      <c r="K371">
        <v>0</v>
      </c>
      <c r="L371">
        <v>0</v>
      </c>
      <c r="M371">
        <v>0</v>
      </c>
      <c r="N371">
        <v>2</v>
      </c>
      <c r="O371" s="1" t="s">
        <v>43</v>
      </c>
      <c r="P371">
        <v>4</v>
      </c>
      <c r="Q371">
        <v>0</v>
      </c>
      <c r="R371">
        <v>1</v>
      </c>
      <c r="S371">
        <v>1</v>
      </c>
      <c r="T371">
        <v>1</v>
      </c>
      <c r="U371">
        <f>IF(openpolis_patrimoni_trasparenti_anno_2014[[#This Row],[totale_730_dichiarante]]&lt;&gt;0,LOG10(openpolis_patrimoni_trasparenti_anno_2014[[#This Row],[totale_730_dichiarante]]), 0)</f>
        <v>5.1181721020051185</v>
      </c>
    </row>
    <row r="372" spans="1:21" x14ac:dyDescent="0.3">
      <c r="A372">
        <v>332920</v>
      </c>
      <c r="B372" s="1" t="s">
        <v>704</v>
      </c>
      <c r="C372" s="1" t="s">
        <v>705</v>
      </c>
      <c r="D372" s="2">
        <v>20206</v>
      </c>
      <c r="E372" s="1" t="s">
        <v>41</v>
      </c>
      <c r="F372" s="1" t="s">
        <v>30</v>
      </c>
      <c r="G372" s="1" t="s">
        <v>36</v>
      </c>
      <c r="H372" s="1" t="s">
        <v>37</v>
      </c>
      <c r="I372" s="1" t="s">
        <v>115</v>
      </c>
      <c r="J372">
        <v>389785</v>
      </c>
      <c r="K372">
        <v>0</v>
      </c>
      <c r="L372">
        <v>0</v>
      </c>
      <c r="M372">
        <v>0</v>
      </c>
      <c r="N372">
        <v>3</v>
      </c>
      <c r="O372" s="1" t="s">
        <v>32</v>
      </c>
      <c r="P372">
        <v>37</v>
      </c>
      <c r="Q372">
        <v>0</v>
      </c>
      <c r="R372">
        <v>3</v>
      </c>
      <c r="S372">
        <v>0</v>
      </c>
      <c r="T372">
        <v>0</v>
      </c>
      <c r="U372">
        <f>IF(openpolis_patrimoni_trasparenti_anno_2014[[#This Row],[totale_730_dichiarante]]&lt;&gt;0,LOG10(openpolis_patrimoni_trasparenti_anno_2014[[#This Row],[totale_730_dichiarante]]), 0)</f>
        <v>5.5908251222557608</v>
      </c>
    </row>
    <row r="373" spans="1:21" x14ac:dyDescent="0.3">
      <c r="A373">
        <v>687658</v>
      </c>
      <c r="B373" s="1" t="s">
        <v>528</v>
      </c>
      <c r="C373" s="1" t="s">
        <v>706</v>
      </c>
      <c r="D373" s="2">
        <v>23143</v>
      </c>
      <c r="E373" s="1" t="s">
        <v>29</v>
      </c>
      <c r="F373" s="1" t="s">
        <v>30</v>
      </c>
      <c r="G373" s="1" t="s">
        <v>24</v>
      </c>
      <c r="H373" s="1" t="s">
        <v>24</v>
      </c>
      <c r="I373" s="1" t="s">
        <v>132</v>
      </c>
      <c r="J373">
        <v>57856</v>
      </c>
      <c r="K373">
        <v>0</v>
      </c>
      <c r="L373">
        <v>0</v>
      </c>
      <c r="M373">
        <v>0</v>
      </c>
      <c r="N373">
        <v>3</v>
      </c>
      <c r="O373" s="1" t="s">
        <v>61</v>
      </c>
      <c r="P373">
        <v>7</v>
      </c>
      <c r="Q373">
        <v>5</v>
      </c>
      <c r="R373">
        <v>2</v>
      </c>
      <c r="S373">
        <v>1</v>
      </c>
      <c r="T373">
        <v>0</v>
      </c>
      <c r="U373">
        <f>IF(openpolis_patrimoni_trasparenti_anno_2014[[#This Row],[totale_730_dichiarante]]&lt;&gt;0,LOG10(openpolis_patrimoni_trasparenti_anno_2014[[#This Row],[totale_730_dichiarante]]), 0)</f>
        <v>4.7623484044592503</v>
      </c>
    </row>
    <row r="374" spans="1:21" x14ac:dyDescent="0.3">
      <c r="A374">
        <v>686014</v>
      </c>
      <c r="B374" s="1" t="s">
        <v>233</v>
      </c>
      <c r="C374" s="1" t="s">
        <v>340</v>
      </c>
      <c r="D374" s="2">
        <v>31450</v>
      </c>
      <c r="E374" s="1" t="s">
        <v>49</v>
      </c>
      <c r="F374" s="1" t="s">
        <v>30</v>
      </c>
      <c r="G374" s="1" t="s">
        <v>102</v>
      </c>
      <c r="H374" s="1" t="s">
        <v>102</v>
      </c>
      <c r="I374" s="1" t="s">
        <v>132</v>
      </c>
      <c r="J374">
        <v>83129</v>
      </c>
      <c r="K374">
        <v>0</v>
      </c>
      <c r="L374">
        <v>0</v>
      </c>
      <c r="M374">
        <v>0</v>
      </c>
      <c r="N374">
        <v>3</v>
      </c>
      <c r="O374" s="1" t="s">
        <v>32</v>
      </c>
      <c r="P374">
        <v>2</v>
      </c>
      <c r="Q374">
        <v>0</v>
      </c>
      <c r="R374">
        <v>1</v>
      </c>
      <c r="S374">
        <v>0</v>
      </c>
      <c r="T374">
        <v>0</v>
      </c>
      <c r="U374">
        <f>IF(openpolis_patrimoni_trasparenti_anno_2014[[#This Row],[totale_730_dichiarante]]&lt;&gt;0,LOG10(openpolis_patrimoni_trasparenti_anno_2014[[#This Row],[totale_730_dichiarante]]), 0)</f>
        <v>4.9197525561894428</v>
      </c>
    </row>
    <row r="375" spans="1:21" x14ac:dyDescent="0.3">
      <c r="A375">
        <v>169757</v>
      </c>
      <c r="B375" s="1" t="s">
        <v>211</v>
      </c>
      <c r="C375" s="1" t="s">
        <v>707</v>
      </c>
      <c r="D375" s="2">
        <v>22829</v>
      </c>
      <c r="E375" s="1" t="s">
        <v>35</v>
      </c>
      <c r="F375" s="1" t="s">
        <v>30</v>
      </c>
      <c r="G375" s="1" t="s">
        <v>24</v>
      </c>
      <c r="H375" s="1" t="s">
        <v>24</v>
      </c>
      <c r="I375" s="1" t="s">
        <v>72</v>
      </c>
      <c r="J375">
        <v>103054</v>
      </c>
      <c r="K375">
        <v>0</v>
      </c>
      <c r="L375">
        <v>0</v>
      </c>
      <c r="M375">
        <v>0</v>
      </c>
      <c r="N375">
        <v>3</v>
      </c>
      <c r="O375" s="1" t="s">
        <v>32</v>
      </c>
      <c r="P375">
        <v>2</v>
      </c>
      <c r="Q375">
        <v>0</v>
      </c>
      <c r="R375">
        <v>2</v>
      </c>
      <c r="S375">
        <v>2</v>
      </c>
      <c r="T375">
        <v>0</v>
      </c>
      <c r="U375">
        <f>IF(openpolis_patrimoni_trasparenti_anno_2014[[#This Row],[totale_730_dichiarante]]&lt;&gt;0,LOG10(openpolis_patrimoni_trasparenti_anno_2014[[#This Row],[totale_730_dichiarante]]), 0)</f>
        <v>5.0130648534098778</v>
      </c>
    </row>
    <row r="376" spans="1:21" x14ac:dyDescent="0.3">
      <c r="A376">
        <v>685790</v>
      </c>
      <c r="B376" s="1" t="s">
        <v>708</v>
      </c>
      <c r="C376" s="1" t="s">
        <v>709</v>
      </c>
      <c r="D376" s="2">
        <v>30632</v>
      </c>
      <c r="E376" s="1" t="s">
        <v>710</v>
      </c>
      <c r="F376" s="1" t="s">
        <v>30</v>
      </c>
      <c r="G376" s="1" t="s">
        <v>36</v>
      </c>
      <c r="H376" s="1" t="s">
        <v>168</v>
      </c>
      <c r="I376" s="1" t="s">
        <v>42</v>
      </c>
      <c r="J376">
        <v>78229.8</v>
      </c>
      <c r="K376">
        <v>0</v>
      </c>
      <c r="L376">
        <v>0</v>
      </c>
      <c r="M376">
        <v>0</v>
      </c>
      <c r="N376">
        <v>3</v>
      </c>
      <c r="O376" s="1" t="s">
        <v>90</v>
      </c>
      <c r="P376">
        <v>1</v>
      </c>
      <c r="Q376">
        <v>0</v>
      </c>
      <c r="R376">
        <v>2</v>
      </c>
      <c r="S376">
        <v>0</v>
      </c>
      <c r="T376">
        <v>0</v>
      </c>
      <c r="U376">
        <f>IF(openpolis_patrimoni_trasparenti_anno_2014[[#This Row],[totale_730_dichiarante]]&lt;&gt;0,LOG10(openpolis_patrimoni_trasparenti_anno_2014[[#This Row],[totale_730_dichiarante]]), 0)</f>
        <v>4.893372219942977</v>
      </c>
    </row>
    <row r="377" spans="1:21" x14ac:dyDescent="0.3">
      <c r="A377">
        <v>686545</v>
      </c>
      <c r="B377" s="1" t="s">
        <v>711</v>
      </c>
      <c r="C377" s="1" t="s">
        <v>712</v>
      </c>
      <c r="D377" s="2">
        <v>23276</v>
      </c>
      <c r="E377" s="1" t="s">
        <v>35</v>
      </c>
      <c r="F377" s="1" t="s">
        <v>30</v>
      </c>
      <c r="G377" s="1" t="s">
        <v>25</v>
      </c>
      <c r="H377" s="1" t="s">
        <v>24</v>
      </c>
      <c r="I377" s="1" t="s">
        <v>169</v>
      </c>
      <c r="J377">
        <v>78230</v>
      </c>
      <c r="K377">
        <v>0</v>
      </c>
      <c r="L377">
        <v>0</v>
      </c>
      <c r="M377">
        <v>0</v>
      </c>
      <c r="N377">
        <v>3</v>
      </c>
      <c r="O377" s="1" t="s">
        <v>32</v>
      </c>
      <c r="P377">
        <v>0</v>
      </c>
      <c r="Q377">
        <v>0</v>
      </c>
      <c r="R377">
        <v>1</v>
      </c>
      <c r="S377">
        <v>0</v>
      </c>
      <c r="T377">
        <v>0</v>
      </c>
      <c r="U377">
        <f>IF(openpolis_patrimoni_trasparenti_anno_2014[[#This Row],[totale_730_dichiarante]]&lt;&gt;0,LOG10(openpolis_patrimoni_trasparenti_anno_2014[[#This Row],[totale_730_dichiarante]]), 0)</f>
        <v>4.8933733302460247</v>
      </c>
    </row>
    <row r="378" spans="1:21" x14ac:dyDescent="0.3">
      <c r="A378">
        <v>28912</v>
      </c>
      <c r="B378" s="1" t="s">
        <v>713</v>
      </c>
      <c r="C378" s="1" t="s">
        <v>714</v>
      </c>
      <c r="D378" s="2">
        <v>22714</v>
      </c>
      <c r="E378" s="1" t="s">
        <v>41</v>
      </c>
      <c r="F378" s="1" t="s">
        <v>30</v>
      </c>
      <c r="G378" s="1" t="s">
        <v>283</v>
      </c>
      <c r="H378" s="1" t="s">
        <v>54</v>
      </c>
      <c r="I378" s="1" t="s">
        <v>284</v>
      </c>
      <c r="J378">
        <v>602338</v>
      </c>
      <c r="K378">
        <v>0</v>
      </c>
      <c r="L378">
        <v>0</v>
      </c>
      <c r="M378">
        <v>0</v>
      </c>
      <c r="N378">
        <v>3</v>
      </c>
      <c r="O378" s="1" t="s">
        <v>32</v>
      </c>
      <c r="P378">
        <v>8</v>
      </c>
      <c r="Q378">
        <v>7</v>
      </c>
      <c r="R378">
        <v>2</v>
      </c>
      <c r="S378">
        <v>4</v>
      </c>
      <c r="T378">
        <v>0</v>
      </c>
      <c r="U378">
        <f>IF(openpolis_patrimoni_trasparenti_anno_2014[[#This Row],[totale_730_dichiarante]]&lt;&gt;0,LOG10(openpolis_patrimoni_trasparenti_anno_2014[[#This Row],[totale_730_dichiarante]]), 0)</f>
        <v>5.7798402625890244</v>
      </c>
    </row>
    <row r="379" spans="1:21" x14ac:dyDescent="0.3">
      <c r="A379">
        <v>223060</v>
      </c>
      <c r="B379" s="1" t="s">
        <v>715</v>
      </c>
      <c r="C379" s="1" t="s">
        <v>716</v>
      </c>
      <c r="D379" s="2">
        <v>19693</v>
      </c>
      <c r="E379" s="1" t="s">
        <v>49</v>
      </c>
      <c r="F379" s="1" t="s">
        <v>30</v>
      </c>
      <c r="G379" s="1" t="s">
        <v>24</v>
      </c>
      <c r="H379" s="1" t="s">
        <v>24</v>
      </c>
      <c r="I379" s="1" t="s">
        <v>89</v>
      </c>
      <c r="J379">
        <v>99515</v>
      </c>
      <c r="K379">
        <v>0</v>
      </c>
      <c r="L379">
        <v>0</v>
      </c>
      <c r="M379">
        <v>0</v>
      </c>
      <c r="N379">
        <v>3</v>
      </c>
      <c r="O379" s="1" t="s">
        <v>32</v>
      </c>
      <c r="P379">
        <v>0</v>
      </c>
      <c r="Q379">
        <v>0</v>
      </c>
      <c r="R379">
        <v>1</v>
      </c>
      <c r="S379">
        <v>0</v>
      </c>
      <c r="T379">
        <v>0</v>
      </c>
      <c r="U379">
        <f>IF(openpolis_patrimoni_trasparenti_anno_2014[[#This Row],[totale_730_dichiarante]]&lt;&gt;0,LOG10(openpolis_patrimoni_trasparenti_anno_2014[[#This Row],[totale_730_dichiarante]]), 0)</f>
        <v>4.997888547341117</v>
      </c>
    </row>
    <row r="380" spans="1:21" x14ac:dyDescent="0.3">
      <c r="A380">
        <v>9069</v>
      </c>
      <c r="B380" s="1" t="s">
        <v>215</v>
      </c>
      <c r="C380" s="1" t="s">
        <v>717</v>
      </c>
      <c r="D380" s="2">
        <v>26206</v>
      </c>
      <c r="E380" s="1" t="s">
        <v>49</v>
      </c>
      <c r="F380" s="1" t="s">
        <v>30</v>
      </c>
      <c r="G380" s="1" t="s">
        <v>24</v>
      </c>
      <c r="H380" s="1" t="s">
        <v>24</v>
      </c>
      <c r="I380" s="1" t="s">
        <v>55</v>
      </c>
      <c r="J380">
        <v>108802</v>
      </c>
      <c r="K380">
        <v>0</v>
      </c>
      <c r="L380">
        <v>0</v>
      </c>
      <c r="M380">
        <v>0</v>
      </c>
      <c r="N380">
        <v>3</v>
      </c>
      <c r="O380" s="1" t="s">
        <v>32</v>
      </c>
      <c r="P380">
        <v>1</v>
      </c>
      <c r="Q380">
        <v>0</v>
      </c>
      <c r="R380">
        <v>0</v>
      </c>
      <c r="S380">
        <v>0</v>
      </c>
      <c r="T380">
        <v>0</v>
      </c>
      <c r="U380">
        <f>IF(openpolis_patrimoni_trasparenti_anno_2014[[#This Row],[totale_730_dichiarante]]&lt;&gt;0,LOG10(openpolis_patrimoni_trasparenti_anno_2014[[#This Row],[totale_730_dichiarante]]), 0)</f>
        <v>5.0366368786432325</v>
      </c>
    </row>
    <row r="381" spans="1:21" x14ac:dyDescent="0.3">
      <c r="A381">
        <v>686477</v>
      </c>
      <c r="B381" s="1" t="s">
        <v>138</v>
      </c>
      <c r="C381" s="1" t="s">
        <v>718</v>
      </c>
      <c r="D381" s="2">
        <v>30727</v>
      </c>
      <c r="E381" s="1" t="s">
        <v>114</v>
      </c>
      <c r="F381" s="1" t="s">
        <v>30</v>
      </c>
      <c r="G381" s="1" t="s">
        <v>102</v>
      </c>
      <c r="H381" s="1" t="s">
        <v>102</v>
      </c>
      <c r="I381" s="1" t="s">
        <v>115</v>
      </c>
      <c r="J381">
        <v>78293</v>
      </c>
      <c r="K381">
        <v>0</v>
      </c>
      <c r="L381">
        <v>0</v>
      </c>
      <c r="M381">
        <v>0</v>
      </c>
      <c r="N381">
        <v>2</v>
      </c>
      <c r="O381" s="1" t="s">
        <v>43</v>
      </c>
      <c r="P381">
        <v>3</v>
      </c>
      <c r="Q381">
        <v>6</v>
      </c>
      <c r="R381">
        <v>1</v>
      </c>
      <c r="S381">
        <v>0</v>
      </c>
      <c r="T381">
        <v>0</v>
      </c>
      <c r="U381">
        <f>IF(openpolis_patrimoni_trasparenti_anno_2014[[#This Row],[totale_730_dichiarante]]&lt;&gt;0,LOG10(openpolis_patrimoni_trasparenti_anno_2014[[#This Row],[totale_730_dichiarante]]), 0)</f>
        <v>4.89372293450658</v>
      </c>
    </row>
    <row r="382" spans="1:21" x14ac:dyDescent="0.3">
      <c r="A382">
        <v>332912</v>
      </c>
      <c r="B382" s="1" t="s">
        <v>719</v>
      </c>
      <c r="C382" s="1" t="s">
        <v>720</v>
      </c>
      <c r="D382" s="2">
        <v>28282</v>
      </c>
      <c r="E382" s="1" t="s">
        <v>49</v>
      </c>
      <c r="F382" s="1" t="s">
        <v>30</v>
      </c>
      <c r="G382" s="1" t="s">
        <v>36</v>
      </c>
      <c r="H382" s="1" t="s">
        <v>37</v>
      </c>
      <c r="I382" s="1" t="s">
        <v>115</v>
      </c>
      <c r="J382">
        <v>98471</v>
      </c>
      <c r="K382">
        <v>0</v>
      </c>
      <c r="L382">
        <v>0</v>
      </c>
      <c r="M382">
        <v>0</v>
      </c>
      <c r="N382">
        <v>3</v>
      </c>
      <c r="O382" s="1" t="s">
        <v>32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f>IF(openpolis_patrimoni_trasparenti_anno_2014[[#This Row],[totale_730_dichiarante]]&lt;&gt;0,LOG10(openpolis_patrimoni_trasparenti_anno_2014[[#This Row],[totale_730_dichiarante]]), 0)</f>
        <v>4.9933083483213911</v>
      </c>
    </row>
    <row r="383" spans="1:21" x14ac:dyDescent="0.3">
      <c r="A383">
        <v>686044</v>
      </c>
      <c r="B383" s="1" t="s">
        <v>721</v>
      </c>
      <c r="C383" s="1" t="s">
        <v>722</v>
      </c>
      <c r="D383" s="2">
        <v>31637</v>
      </c>
      <c r="E383" s="1" t="s">
        <v>114</v>
      </c>
      <c r="F383" s="1" t="s">
        <v>30</v>
      </c>
      <c r="G383" s="1" t="s">
        <v>102</v>
      </c>
      <c r="H383" s="1" t="s">
        <v>102</v>
      </c>
      <c r="I383" s="1" t="s">
        <v>111</v>
      </c>
      <c r="J383">
        <v>78229.8</v>
      </c>
      <c r="K383">
        <v>0</v>
      </c>
      <c r="L383">
        <v>0</v>
      </c>
      <c r="M383">
        <v>0</v>
      </c>
      <c r="N383">
        <v>2</v>
      </c>
      <c r="O383" s="1" t="s">
        <v>43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f>IF(openpolis_patrimoni_trasparenti_anno_2014[[#This Row],[totale_730_dichiarante]]&lt;&gt;0,LOG10(openpolis_patrimoni_trasparenti_anno_2014[[#This Row],[totale_730_dichiarante]]), 0)</f>
        <v>4.893372219942977</v>
      </c>
    </row>
    <row r="384" spans="1:21" x14ac:dyDescent="0.3">
      <c r="A384">
        <v>177694</v>
      </c>
      <c r="B384" s="1" t="s">
        <v>652</v>
      </c>
      <c r="C384" s="1" t="s">
        <v>720</v>
      </c>
      <c r="D384" s="2">
        <v>21953</v>
      </c>
      <c r="E384" s="1" t="s">
        <v>35</v>
      </c>
      <c r="F384" s="1" t="s">
        <v>30</v>
      </c>
      <c r="G384" s="1" t="s">
        <v>36</v>
      </c>
      <c r="H384" s="1" t="s">
        <v>37</v>
      </c>
      <c r="I384" s="1" t="s">
        <v>191</v>
      </c>
      <c r="J384">
        <v>108326</v>
      </c>
      <c r="K384">
        <v>0</v>
      </c>
      <c r="L384">
        <v>0</v>
      </c>
      <c r="M384">
        <v>0</v>
      </c>
      <c r="N384">
        <v>3</v>
      </c>
      <c r="O384" s="1" t="s">
        <v>32</v>
      </c>
      <c r="P384">
        <v>4</v>
      </c>
      <c r="Q384">
        <v>0</v>
      </c>
      <c r="R384">
        <v>0</v>
      </c>
      <c r="S384">
        <v>1</v>
      </c>
      <c r="T384">
        <v>0</v>
      </c>
      <c r="U384">
        <f>IF(openpolis_patrimoni_trasparenti_anno_2014[[#This Row],[totale_730_dichiarante]]&lt;&gt;0,LOG10(openpolis_patrimoni_trasparenti_anno_2014[[#This Row],[totale_730_dichiarante]]), 0)</f>
        <v>5.0347327068684464</v>
      </c>
    </row>
    <row r="385" spans="1:21" x14ac:dyDescent="0.3">
      <c r="A385">
        <v>333276</v>
      </c>
      <c r="B385" s="1" t="s">
        <v>233</v>
      </c>
      <c r="C385" s="1" t="s">
        <v>723</v>
      </c>
      <c r="D385" s="2">
        <v>21791</v>
      </c>
      <c r="E385" s="1" t="s">
        <v>41</v>
      </c>
      <c r="F385" s="1" t="s">
        <v>30</v>
      </c>
      <c r="G385" s="1" t="s">
        <v>36</v>
      </c>
      <c r="H385" s="1" t="s">
        <v>37</v>
      </c>
      <c r="I385" s="1" t="s">
        <v>132</v>
      </c>
      <c r="J385">
        <v>178809</v>
      </c>
      <c r="K385">
        <v>0</v>
      </c>
      <c r="L385">
        <v>0</v>
      </c>
      <c r="M385">
        <v>0</v>
      </c>
      <c r="N385">
        <v>3</v>
      </c>
      <c r="O385" s="1" t="s">
        <v>32</v>
      </c>
      <c r="P385">
        <v>7</v>
      </c>
      <c r="Q385">
        <v>1</v>
      </c>
      <c r="R385">
        <v>1</v>
      </c>
      <c r="S385">
        <v>0</v>
      </c>
      <c r="T385">
        <v>0</v>
      </c>
      <c r="U385">
        <f>IF(openpolis_patrimoni_trasparenti_anno_2014[[#This Row],[totale_730_dichiarante]]&lt;&gt;0,LOG10(openpolis_patrimoni_trasparenti_anno_2014[[#This Row],[totale_730_dichiarante]]), 0)</f>
        <v>5.2523893743702361</v>
      </c>
    </row>
    <row r="386" spans="1:21" x14ac:dyDescent="0.3">
      <c r="A386">
        <v>685978</v>
      </c>
      <c r="B386" s="1" t="s">
        <v>724</v>
      </c>
      <c r="C386" s="1" t="s">
        <v>725</v>
      </c>
      <c r="D386" s="2">
        <v>19415</v>
      </c>
      <c r="E386" s="1" t="s">
        <v>29</v>
      </c>
      <c r="F386" s="1" t="s">
        <v>30</v>
      </c>
      <c r="G386" s="1" t="s">
        <v>25</v>
      </c>
      <c r="H386" s="1" t="s">
        <v>97</v>
      </c>
      <c r="I386" s="1" t="s">
        <v>72</v>
      </c>
      <c r="J386">
        <v>114278</v>
      </c>
      <c r="K386">
        <v>105021</v>
      </c>
      <c r="L386">
        <v>0</v>
      </c>
      <c r="M386">
        <v>0</v>
      </c>
      <c r="N386">
        <v>3</v>
      </c>
      <c r="O386" s="1" t="s">
        <v>32</v>
      </c>
      <c r="P386">
        <v>4</v>
      </c>
      <c r="Q386">
        <v>1</v>
      </c>
      <c r="R386">
        <v>1</v>
      </c>
      <c r="S386">
        <v>2</v>
      </c>
      <c r="T386">
        <v>0</v>
      </c>
      <c r="U386">
        <f>IF(openpolis_patrimoni_trasparenti_anno_2014[[#This Row],[totale_730_dichiarante]]&lt;&gt;0,LOG10(openpolis_patrimoni_trasparenti_anno_2014[[#This Row],[totale_730_dichiarante]]), 0)</f>
        <v>5.0579626311107369</v>
      </c>
    </row>
    <row r="387" spans="1:21" x14ac:dyDescent="0.3">
      <c r="A387">
        <v>710</v>
      </c>
      <c r="B387" s="1" t="s">
        <v>726</v>
      </c>
      <c r="C387" s="1" t="s">
        <v>727</v>
      </c>
      <c r="D387" s="2">
        <v>25200</v>
      </c>
      <c r="E387" s="1" t="s">
        <v>41</v>
      </c>
      <c r="F387" s="1" t="s">
        <v>30</v>
      </c>
      <c r="G387" s="1" t="s">
        <v>36</v>
      </c>
      <c r="H387" s="1" t="s">
        <v>37</v>
      </c>
      <c r="I387" s="1" t="s">
        <v>42</v>
      </c>
      <c r="J387">
        <v>99785</v>
      </c>
      <c r="K387">
        <v>0</v>
      </c>
      <c r="L387">
        <v>0</v>
      </c>
      <c r="M387">
        <v>0</v>
      </c>
      <c r="N387">
        <v>3</v>
      </c>
      <c r="O387" s="1" t="s">
        <v>32</v>
      </c>
      <c r="P387">
        <v>1</v>
      </c>
      <c r="Q387">
        <v>0</v>
      </c>
      <c r="R387">
        <v>0</v>
      </c>
      <c r="S387">
        <v>0</v>
      </c>
      <c r="T387">
        <v>0</v>
      </c>
      <c r="U387">
        <f>IF(openpolis_patrimoni_trasparenti_anno_2014[[#This Row],[totale_730_dichiarante]]&lt;&gt;0,LOG10(openpolis_patrimoni_trasparenti_anno_2014[[#This Row],[totale_730_dichiarante]]), 0)</f>
        <v>4.9990652616597355</v>
      </c>
    </row>
    <row r="388" spans="1:21" x14ac:dyDescent="0.3">
      <c r="A388">
        <v>275029</v>
      </c>
      <c r="B388" s="1" t="s">
        <v>242</v>
      </c>
      <c r="C388" s="1" t="s">
        <v>728</v>
      </c>
      <c r="D388" s="2">
        <v>23846</v>
      </c>
      <c r="E388" s="1" t="s">
        <v>41</v>
      </c>
      <c r="F388" s="1" t="s">
        <v>30</v>
      </c>
      <c r="G388" s="1" t="s">
        <v>24</v>
      </c>
      <c r="H388" s="1" t="s">
        <v>24</v>
      </c>
      <c r="I388" s="1" t="s">
        <v>89</v>
      </c>
      <c r="J388">
        <v>119662</v>
      </c>
      <c r="K388">
        <v>1128</v>
      </c>
      <c r="L388">
        <v>0</v>
      </c>
      <c r="M388">
        <v>0</v>
      </c>
      <c r="N388">
        <v>1</v>
      </c>
      <c r="O388" s="1" t="s">
        <v>119</v>
      </c>
      <c r="P388">
        <v>4</v>
      </c>
      <c r="Q388">
        <v>0</v>
      </c>
      <c r="R388">
        <v>5</v>
      </c>
      <c r="S388">
        <v>3</v>
      </c>
      <c r="T388">
        <v>0</v>
      </c>
      <c r="U388">
        <f>IF(openpolis_patrimoni_trasparenti_anno_2014[[#This Row],[totale_730_dichiarante]]&lt;&gt;0,LOG10(openpolis_patrimoni_trasparenti_anno_2014[[#This Row],[totale_730_dichiarante]]), 0)</f>
        <v>5.0779562572533541</v>
      </c>
    </row>
    <row r="389" spans="1:21" x14ac:dyDescent="0.3">
      <c r="A389">
        <v>5068</v>
      </c>
      <c r="B389" s="1" t="s">
        <v>729</v>
      </c>
      <c r="C389" s="1" t="s">
        <v>730</v>
      </c>
      <c r="D389" s="2">
        <v>15896</v>
      </c>
      <c r="E389" s="1" t="s">
        <v>41</v>
      </c>
      <c r="F389" s="1" t="s">
        <v>30</v>
      </c>
      <c r="G389" s="1" t="s">
        <v>126</v>
      </c>
      <c r="H389" s="1" t="s">
        <v>127</v>
      </c>
      <c r="I389" s="1" t="s">
        <v>115</v>
      </c>
      <c r="J389">
        <v>403294</v>
      </c>
      <c r="K389">
        <v>0</v>
      </c>
      <c r="L389">
        <v>0</v>
      </c>
      <c r="M389">
        <v>0</v>
      </c>
      <c r="N389">
        <v>3</v>
      </c>
      <c r="O389" s="1" t="s">
        <v>32</v>
      </c>
      <c r="P389">
        <v>27</v>
      </c>
      <c r="Q389">
        <v>19</v>
      </c>
      <c r="R389">
        <v>2</v>
      </c>
      <c r="S389">
        <v>0</v>
      </c>
      <c r="T389">
        <v>0</v>
      </c>
      <c r="U389">
        <f>IF(openpolis_patrimoni_trasparenti_anno_2014[[#This Row],[totale_730_dichiarante]]&lt;&gt;0,LOG10(openpolis_patrimoni_trasparenti_anno_2014[[#This Row],[totale_730_dichiarante]]), 0)</f>
        <v>5.6056217608465104</v>
      </c>
    </row>
    <row r="390" spans="1:21" x14ac:dyDescent="0.3">
      <c r="A390">
        <v>707</v>
      </c>
      <c r="B390" s="1" t="s">
        <v>387</v>
      </c>
      <c r="C390" s="1" t="s">
        <v>731</v>
      </c>
      <c r="D390" s="2">
        <v>22902</v>
      </c>
      <c r="E390" s="1" t="s">
        <v>249</v>
      </c>
      <c r="F390" s="1" t="s">
        <v>30</v>
      </c>
      <c r="G390" s="1" t="s">
        <v>24</v>
      </c>
      <c r="H390" s="1" t="s">
        <v>24</v>
      </c>
      <c r="I390" s="1" t="s">
        <v>72</v>
      </c>
      <c r="J390">
        <v>107177</v>
      </c>
      <c r="K390">
        <v>0</v>
      </c>
      <c r="L390">
        <v>0</v>
      </c>
      <c r="M390">
        <v>0</v>
      </c>
      <c r="N390">
        <v>3</v>
      </c>
      <c r="O390" s="1" t="s">
        <v>32</v>
      </c>
      <c r="P390">
        <v>9</v>
      </c>
      <c r="Q390">
        <v>0</v>
      </c>
      <c r="R390">
        <v>2</v>
      </c>
      <c r="S390">
        <v>4</v>
      </c>
      <c r="T390">
        <v>1</v>
      </c>
      <c r="U390">
        <f>IF(openpolis_patrimoni_trasparenti_anno_2014[[#This Row],[totale_730_dichiarante]]&lt;&gt;0,LOG10(openpolis_patrimoni_trasparenti_anno_2014[[#This Row],[totale_730_dichiarante]]), 0)</f>
        <v>5.0301015965060616</v>
      </c>
    </row>
    <row r="391" spans="1:21" x14ac:dyDescent="0.3">
      <c r="A391">
        <v>274855</v>
      </c>
      <c r="B391" s="1" t="s">
        <v>732</v>
      </c>
      <c r="C391" s="1" t="s">
        <v>733</v>
      </c>
      <c r="D391" s="2">
        <v>18330</v>
      </c>
      <c r="E391" s="1" t="s">
        <v>63</v>
      </c>
      <c r="F391" s="1" t="s">
        <v>30</v>
      </c>
      <c r="G391" s="1" t="s">
        <v>36</v>
      </c>
      <c r="H391" s="1" t="s">
        <v>168</v>
      </c>
      <c r="I391" s="1" t="s">
        <v>50</v>
      </c>
      <c r="J391">
        <v>94904</v>
      </c>
      <c r="K391">
        <v>0</v>
      </c>
      <c r="L391">
        <v>0</v>
      </c>
      <c r="M391">
        <v>0</v>
      </c>
      <c r="N391">
        <v>3</v>
      </c>
      <c r="O391" s="1" t="s">
        <v>32</v>
      </c>
      <c r="P391">
        <v>0</v>
      </c>
      <c r="Q391">
        <v>0</v>
      </c>
      <c r="R391">
        <v>1</v>
      </c>
      <c r="S391">
        <v>0</v>
      </c>
      <c r="T391">
        <v>0</v>
      </c>
      <c r="U391">
        <f>IF(openpolis_patrimoni_trasparenti_anno_2014[[#This Row],[totale_730_dichiarante]]&lt;&gt;0,LOG10(openpolis_patrimoni_trasparenti_anno_2014[[#This Row],[totale_730_dichiarante]]), 0)</f>
        <v>4.9772845173937617</v>
      </c>
    </row>
    <row r="392" spans="1:21" x14ac:dyDescent="0.3">
      <c r="A392">
        <v>8344</v>
      </c>
      <c r="B392" s="1" t="s">
        <v>734</v>
      </c>
      <c r="C392" s="1" t="s">
        <v>735</v>
      </c>
      <c r="D392" s="2">
        <v>26538</v>
      </c>
      <c r="E392" s="1" t="s">
        <v>35</v>
      </c>
      <c r="F392" s="1" t="s">
        <v>30</v>
      </c>
      <c r="G392" s="1" t="s">
        <v>36</v>
      </c>
      <c r="H392" s="1" t="s">
        <v>53</v>
      </c>
      <c r="I392" s="1" t="s">
        <v>159</v>
      </c>
      <c r="J392">
        <v>102952</v>
      </c>
      <c r="K392">
        <v>0</v>
      </c>
      <c r="L392">
        <v>0</v>
      </c>
      <c r="M392">
        <v>0</v>
      </c>
      <c r="N392">
        <v>3</v>
      </c>
      <c r="O392" s="1" t="s">
        <v>32</v>
      </c>
      <c r="P392">
        <v>0</v>
      </c>
      <c r="Q392">
        <v>1</v>
      </c>
      <c r="R392">
        <v>0</v>
      </c>
      <c r="S392">
        <v>1</v>
      </c>
      <c r="T392">
        <v>0</v>
      </c>
      <c r="U392">
        <f>IF(openpolis_patrimoni_trasparenti_anno_2014[[#This Row],[totale_730_dichiarante]]&lt;&gt;0,LOG10(openpolis_patrimoni_trasparenti_anno_2014[[#This Row],[totale_730_dichiarante]]), 0)</f>
        <v>5.0126347878702902</v>
      </c>
    </row>
    <row r="393" spans="1:21" x14ac:dyDescent="0.3">
      <c r="A393">
        <v>700</v>
      </c>
      <c r="B393" s="1" t="s">
        <v>44</v>
      </c>
      <c r="C393" s="1" t="s">
        <v>361</v>
      </c>
      <c r="D393" s="2">
        <v>21937</v>
      </c>
      <c r="E393" s="1" t="s">
        <v>75</v>
      </c>
      <c r="F393" s="1" t="s">
        <v>30</v>
      </c>
      <c r="G393" s="1" t="s">
        <v>36</v>
      </c>
      <c r="H393" s="1" t="s">
        <v>37</v>
      </c>
      <c r="I393" s="1" t="s">
        <v>264</v>
      </c>
      <c r="J393">
        <v>100927</v>
      </c>
      <c r="K393">
        <v>0</v>
      </c>
      <c r="L393">
        <v>0</v>
      </c>
      <c r="M393">
        <v>0</v>
      </c>
      <c r="N393">
        <v>3</v>
      </c>
      <c r="O393" s="1" t="s">
        <v>32</v>
      </c>
      <c r="P393">
        <v>4</v>
      </c>
      <c r="Q393">
        <v>0</v>
      </c>
      <c r="R393">
        <v>2</v>
      </c>
      <c r="S393">
        <v>0</v>
      </c>
      <c r="T393">
        <v>0</v>
      </c>
      <c r="U393">
        <f>IF(openpolis_patrimoni_trasparenti_anno_2014[[#This Row],[totale_730_dichiarante]]&lt;&gt;0,LOG10(openpolis_patrimoni_trasparenti_anno_2014[[#This Row],[totale_730_dichiarante]]), 0)</f>
        <v>5.0040073642786131</v>
      </c>
    </row>
    <row r="394" spans="1:21" x14ac:dyDescent="0.3">
      <c r="A394">
        <v>687332</v>
      </c>
      <c r="B394" s="1" t="s">
        <v>736</v>
      </c>
      <c r="C394" s="1" t="s">
        <v>737</v>
      </c>
      <c r="D394" s="2">
        <v>26873</v>
      </c>
      <c r="E394" s="1" t="s">
        <v>136</v>
      </c>
      <c r="F394" s="1" t="s">
        <v>30</v>
      </c>
      <c r="G394" s="1" t="s">
        <v>102</v>
      </c>
      <c r="H394" s="1" t="s">
        <v>102</v>
      </c>
      <c r="I394" s="1" t="s">
        <v>50</v>
      </c>
      <c r="J394">
        <v>82823</v>
      </c>
      <c r="K394">
        <v>0</v>
      </c>
      <c r="L394">
        <v>0</v>
      </c>
      <c r="M394">
        <v>0</v>
      </c>
      <c r="N394">
        <v>3</v>
      </c>
      <c r="O394" s="1" t="s">
        <v>32</v>
      </c>
      <c r="P394">
        <v>4</v>
      </c>
      <c r="Q394">
        <v>0</v>
      </c>
      <c r="R394">
        <v>1</v>
      </c>
      <c r="S394">
        <v>0</v>
      </c>
      <c r="T394">
        <v>0</v>
      </c>
      <c r="U394">
        <f>IF(openpolis_patrimoni_trasparenti_anno_2014[[#This Row],[totale_730_dichiarante]]&lt;&gt;0,LOG10(openpolis_patrimoni_trasparenti_anno_2014[[#This Row],[totale_730_dichiarante]]), 0)</f>
        <v>4.9181509573888782</v>
      </c>
    </row>
    <row r="395" spans="1:21" x14ac:dyDescent="0.3">
      <c r="A395">
        <v>686152</v>
      </c>
      <c r="B395" s="1" t="s">
        <v>211</v>
      </c>
      <c r="C395" s="1" t="s">
        <v>738</v>
      </c>
      <c r="D395" s="2">
        <v>24584</v>
      </c>
      <c r="E395" s="1" t="s">
        <v>136</v>
      </c>
      <c r="F395" s="1" t="s">
        <v>176</v>
      </c>
      <c r="G395" s="1" t="s">
        <v>177</v>
      </c>
      <c r="H395" s="1" t="s">
        <v>25</v>
      </c>
      <c r="I395" s="1" t="s">
        <v>132</v>
      </c>
      <c r="J395">
        <v>190257</v>
      </c>
      <c r="K395">
        <v>0</v>
      </c>
      <c r="L395">
        <v>0</v>
      </c>
      <c r="M395">
        <v>0</v>
      </c>
      <c r="N395">
        <v>2</v>
      </c>
      <c r="O395" s="1" t="s">
        <v>43</v>
      </c>
      <c r="P395">
        <v>1</v>
      </c>
      <c r="Q395">
        <v>7</v>
      </c>
      <c r="R395">
        <v>2</v>
      </c>
      <c r="S395">
        <v>0</v>
      </c>
      <c r="T395">
        <v>0</v>
      </c>
      <c r="U395">
        <f>IF(openpolis_patrimoni_trasparenti_anno_2014[[#This Row],[totale_730_dichiarante]]&lt;&gt;0,LOG10(openpolis_patrimoni_trasparenti_anno_2014[[#This Row],[totale_730_dichiarante]]), 0)</f>
        <v>5.2793406444462745</v>
      </c>
    </row>
    <row r="396" spans="1:21" x14ac:dyDescent="0.3">
      <c r="A396">
        <v>687272</v>
      </c>
      <c r="B396" s="1" t="s">
        <v>394</v>
      </c>
      <c r="C396" s="1" t="s">
        <v>739</v>
      </c>
      <c r="D396" s="2">
        <v>27649</v>
      </c>
      <c r="E396" s="1" t="s">
        <v>156</v>
      </c>
      <c r="F396" s="1" t="s">
        <v>30</v>
      </c>
      <c r="G396" s="1" t="s">
        <v>24</v>
      </c>
      <c r="H396" s="1" t="s">
        <v>24</v>
      </c>
      <c r="I396" s="1" t="s">
        <v>55</v>
      </c>
      <c r="J396">
        <v>79538</v>
      </c>
      <c r="K396">
        <v>0</v>
      </c>
      <c r="L396">
        <v>0</v>
      </c>
      <c r="M396">
        <v>0</v>
      </c>
      <c r="N396">
        <v>3</v>
      </c>
      <c r="O396" s="1" t="s">
        <v>32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f>IF(openpolis_patrimoni_trasparenti_anno_2014[[#This Row],[totale_730_dichiarante]]&lt;&gt;0,LOG10(openpolis_patrimoni_trasparenti_anno_2014[[#This Row],[totale_730_dichiarante]]), 0)</f>
        <v>4.9005746663597414</v>
      </c>
    </row>
    <row r="397" spans="1:21" x14ac:dyDescent="0.3">
      <c r="A397">
        <v>685848</v>
      </c>
      <c r="B397" s="1" t="s">
        <v>740</v>
      </c>
      <c r="C397" s="1" t="s">
        <v>741</v>
      </c>
      <c r="D397" s="2">
        <v>30247</v>
      </c>
      <c r="E397" s="1" t="s">
        <v>49</v>
      </c>
      <c r="F397" s="1" t="s">
        <v>30</v>
      </c>
      <c r="G397" s="1" t="s">
        <v>102</v>
      </c>
      <c r="H397" s="1" t="s">
        <v>24</v>
      </c>
      <c r="I397" s="1" t="s">
        <v>55</v>
      </c>
      <c r="J397">
        <v>81672</v>
      </c>
      <c r="K397">
        <v>0</v>
      </c>
      <c r="L397">
        <v>0</v>
      </c>
      <c r="M397">
        <v>0</v>
      </c>
      <c r="N397">
        <v>3</v>
      </c>
      <c r="O397" s="1" t="s">
        <v>32</v>
      </c>
      <c r="P397">
        <v>1</v>
      </c>
      <c r="Q397">
        <v>0</v>
      </c>
      <c r="R397">
        <v>1</v>
      </c>
      <c r="S397">
        <v>0</v>
      </c>
      <c r="T397">
        <v>0</v>
      </c>
      <c r="U397">
        <f>IF(openpolis_patrimoni_trasparenti_anno_2014[[#This Row],[totale_730_dichiarante]]&lt;&gt;0,LOG10(openpolis_patrimoni_trasparenti_anno_2014[[#This Row],[totale_730_dichiarante]]), 0)</f>
        <v>4.9120731908074156</v>
      </c>
    </row>
    <row r="398" spans="1:21" x14ac:dyDescent="0.3">
      <c r="A398">
        <v>686175</v>
      </c>
      <c r="B398" s="1" t="s">
        <v>421</v>
      </c>
      <c r="C398" s="1" t="s">
        <v>742</v>
      </c>
      <c r="D398" s="2">
        <v>29976</v>
      </c>
      <c r="E398" s="1" t="s">
        <v>41</v>
      </c>
      <c r="F398" s="1" t="s">
        <v>30</v>
      </c>
      <c r="G398" s="1" t="s">
        <v>24</v>
      </c>
      <c r="H398" s="1" t="s">
        <v>24</v>
      </c>
      <c r="I398" s="1" t="s">
        <v>264</v>
      </c>
      <c r="J398">
        <v>78229.8</v>
      </c>
      <c r="K398">
        <v>0</v>
      </c>
      <c r="L398">
        <v>0</v>
      </c>
      <c r="M398">
        <v>0</v>
      </c>
      <c r="N398">
        <v>3</v>
      </c>
      <c r="O398" s="1" t="s">
        <v>90</v>
      </c>
      <c r="P398">
        <v>6</v>
      </c>
      <c r="Q398">
        <v>0</v>
      </c>
      <c r="R398">
        <v>1</v>
      </c>
      <c r="S398">
        <v>1</v>
      </c>
      <c r="T398">
        <v>0</v>
      </c>
      <c r="U398">
        <f>IF(openpolis_patrimoni_trasparenti_anno_2014[[#This Row],[totale_730_dichiarante]]&lt;&gt;0,LOG10(openpolis_patrimoni_trasparenti_anno_2014[[#This Row],[totale_730_dichiarante]]), 0)</f>
        <v>4.893372219942977</v>
      </c>
    </row>
    <row r="399" spans="1:21" x14ac:dyDescent="0.3">
      <c r="A399">
        <v>332898</v>
      </c>
      <c r="B399" s="1" t="s">
        <v>171</v>
      </c>
      <c r="C399" s="1" t="s">
        <v>743</v>
      </c>
      <c r="D399" s="2">
        <v>23192</v>
      </c>
      <c r="E399" s="1" t="s">
        <v>41</v>
      </c>
      <c r="F399" s="1" t="s">
        <v>30</v>
      </c>
      <c r="G399" s="1" t="s">
        <v>24</v>
      </c>
      <c r="H399" s="1" t="s">
        <v>24</v>
      </c>
      <c r="I399" s="1" t="s">
        <v>200</v>
      </c>
      <c r="J399">
        <v>119031</v>
      </c>
      <c r="K399">
        <v>0</v>
      </c>
      <c r="L399">
        <v>0</v>
      </c>
      <c r="M399">
        <v>0</v>
      </c>
      <c r="N399">
        <v>3</v>
      </c>
      <c r="O399" s="1" t="s">
        <v>32</v>
      </c>
      <c r="P399">
        <v>2</v>
      </c>
      <c r="Q399">
        <v>0</v>
      </c>
      <c r="R399">
        <v>1</v>
      </c>
      <c r="S399">
        <v>0</v>
      </c>
      <c r="T399">
        <v>0</v>
      </c>
      <c r="U399">
        <f>IF(openpolis_patrimoni_trasparenti_anno_2014[[#This Row],[totale_730_dichiarante]]&lt;&gt;0,LOG10(openpolis_patrimoni_trasparenti_anno_2014[[#This Row],[totale_730_dichiarante]]), 0)</f>
        <v>5.0756600821962508</v>
      </c>
    </row>
    <row r="400" spans="1:21" x14ac:dyDescent="0.3">
      <c r="A400">
        <v>687340</v>
      </c>
      <c r="B400" s="1" t="s">
        <v>107</v>
      </c>
      <c r="C400" s="1" t="s">
        <v>82</v>
      </c>
      <c r="D400" s="2">
        <v>18763</v>
      </c>
      <c r="E400" s="1" t="s">
        <v>666</v>
      </c>
      <c r="F400" s="1" t="s">
        <v>176</v>
      </c>
      <c r="G400" s="1" t="s">
        <v>237</v>
      </c>
      <c r="H400" s="1" t="s">
        <v>97</v>
      </c>
      <c r="I400" s="1" t="s">
        <v>50</v>
      </c>
      <c r="J400">
        <v>184585</v>
      </c>
      <c r="K400">
        <v>0</v>
      </c>
      <c r="L400">
        <v>0</v>
      </c>
      <c r="M400">
        <v>0</v>
      </c>
      <c r="N400">
        <v>2</v>
      </c>
      <c r="O400" s="1" t="s">
        <v>744</v>
      </c>
      <c r="P400">
        <v>9</v>
      </c>
      <c r="Q400">
        <v>1</v>
      </c>
      <c r="R400">
        <v>1</v>
      </c>
      <c r="S400">
        <v>0</v>
      </c>
      <c r="T400">
        <v>0</v>
      </c>
      <c r="U400">
        <f>IF(openpolis_patrimoni_trasparenti_anno_2014[[#This Row],[totale_730_dichiarante]]&lt;&gt;0,LOG10(openpolis_patrimoni_trasparenti_anno_2014[[#This Row],[totale_730_dichiarante]]), 0)</f>
        <v>5.2661964058886301</v>
      </c>
    </row>
    <row r="401" spans="1:21" x14ac:dyDescent="0.3">
      <c r="A401">
        <v>177665</v>
      </c>
      <c r="B401" s="1" t="s">
        <v>745</v>
      </c>
      <c r="C401" s="1" t="s">
        <v>746</v>
      </c>
      <c r="D401" s="2">
        <v>25047</v>
      </c>
      <c r="E401" s="1" t="s">
        <v>49</v>
      </c>
      <c r="F401" s="1" t="s">
        <v>30</v>
      </c>
      <c r="G401" s="1" t="s">
        <v>24</v>
      </c>
      <c r="H401" s="1" t="s">
        <v>24</v>
      </c>
      <c r="I401" s="1" t="s">
        <v>191</v>
      </c>
      <c r="J401">
        <v>93596</v>
      </c>
      <c r="K401">
        <v>0</v>
      </c>
      <c r="L401">
        <v>0</v>
      </c>
      <c r="M401">
        <v>0</v>
      </c>
      <c r="N401">
        <v>2</v>
      </c>
      <c r="O401" s="1" t="s">
        <v>43</v>
      </c>
      <c r="P401">
        <v>3</v>
      </c>
      <c r="Q401">
        <v>3</v>
      </c>
      <c r="R401">
        <v>2</v>
      </c>
      <c r="S401">
        <v>3</v>
      </c>
      <c r="T401">
        <v>0</v>
      </c>
      <c r="U401">
        <f>IF(openpolis_patrimoni_trasparenti_anno_2014[[#This Row],[totale_730_dichiarante]]&lt;&gt;0,LOG10(openpolis_patrimoni_trasparenti_anno_2014[[#This Row],[totale_730_dichiarante]]), 0)</f>
        <v>4.9712572887482773</v>
      </c>
    </row>
    <row r="402" spans="1:21" x14ac:dyDescent="0.3">
      <c r="A402">
        <v>332894</v>
      </c>
      <c r="B402" s="1" t="s">
        <v>346</v>
      </c>
      <c r="C402" s="1" t="s">
        <v>747</v>
      </c>
      <c r="D402" s="2">
        <v>24860</v>
      </c>
      <c r="E402" s="1" t="s">
        <v>63</v>
      </c>
      <c r="F402" s="1" t="s">
        <v>30</v>
      </c>
      <c r="G402" s="1" t="s">
        <v>53</v>
      </c>
      <c r="H402" s="1" t="s">
        <v>53</v>
      </c>
      <c r="I402" s="1" t="s">
        <v>64</v>
      </c>
      <c r="J402">
        <v>99750</v>
      </c>
      <c r="K402">
        <v>0</v>
      </c>
      <c r="L402">
        <v>0</v>
      </c>
      <c r="M402">
        <v>0</v>
      </c>
      <c r="N402">
        <v>3</v>
      </c>
      <c r="O402" s="1" t="s">
        <v>32</v>
      </c>
      <c r="P402">
        <v>1</v>
      </c>
      <c r="Q402">
        <v>0</v>
      </c>
      <c r="R402">
        <v>1</v>
      </c>
      <c r="S402">
        <v>1</v>
      </c>
      <c r="T402">
        <v>0</v>
      </c>
      <c r="U402">
        <f>IF(openpolis_patrimoni_trasparenti_anno_2014[[#This Row],[totale_730_dichiarante]]&lt;&gt;0,LOG10(openpolis_patrimoni_trasparenti_anno_2014[[#This Row],[totale_730_dichiarante]]), 0)</f>
        <v>4.9989129043587859</v>
      </c>
    </row>
    <row r="403" spans="1:21" x14ac:dyDescent="0.3">
      <c r="A403">
        <v>687398</v>
      </c>
      <c r="B403" s="1" t="s">
        <v>748</v>
      </c>
      <c r="C403" s="1" t="s">
        <v>364</v>
      </c>
      <c r="D403" s="2">
        <v>30865</v>
      </c>
      <c r="E403" s="1" t="s">
        <v>114</v>
      </c>
      <c r="F403" s="1" t="s">
        <v>30</v>
      </c>
      <c r="G403" s="1" t="s">
        <v>102</v>
      </c>
      <c r="H403" s="1" t="s">
        <v>102</v>
      </c>
      <c r="I403" s="1" t="s">
        <v>194</v>
      </c>
      <c r="J403">
        <v>82955</v>
      </c>
      <c r="K403">
        <v>0</v>
      </c>
      <c r="L403">
        <v>0</v>
      </c>
      <c r="M403">
        <v>0</v>
      </c>
      <c r="N403">
        <v>2</v>
      </c>
      <c r="O403" s="1" t="s">
        <v>43</v>
      </c>
      <c r="P403">
        <v>0</v>
      </c>
      <c r="Q403">
        <v>0</v>
      </c>
      <c r="R403">
        <v>2</v>
      </c>
      <c r="S403">
        <v>0</v>
      </c>
      <c r="T403">
        <v>0</v>
      </c>
      <c r="U403">
        <f>IF(openpolis_patrimoni_trasparenti_anno_2014[[#This Row],[totale_730_dichiarante]]&lt;&gt;0,LOG10(openpolis_patrimoni_trasparenti_anno_2014[[#This Row],[totale_730_dichiarante]]), 0)</f>
        <v>4.9188425676595591</v>
      </c>
    </row>
    <row r="404" spans="1:21" x14ac:dyDescent="0.3">
      <c r="A404">
        <v>686720</v>
      </c>
      <c r="B404" s="1" t="s">
        <v>265</v>
      </c>
      <c r="C404" s="1" t="s">
        <v>364</v>
      </c>
      <c r="D404" s="2">
        <v>24602</v>
      </c>
      <c r="E404" s="1" t="s">
        <v>29</v>
      </c>
      <c r="F404" s="1" t="s">
        <v>30</v>
      </c>
      <c r="G404" s="1" t="s">
        <v>25</v>
      </c>
      <c r="H404" s="1" t="s">
        <v>24</v>
      </c>
      <c r="I404" s="1" t="s">
        <v>46</v>
      </c>
      <c r="J404">
        <v>180234</v>
      </c>
      <c r="K404">
        <v>0</v>
      </c>
      <c r="L404">
        <v>0</v>
      </c>
      <c r="M404">
        <v>0</v>
      </c>
      <c r="N404">
        <v>3</v>
      </c>
      <c r="O404" s="1" t="s">
        <v>32</v>
      </c>
      <c r="P404">
        <v>1</v>
      </c>
      <c r="Q404">
        <v>0</v>
      </c>
      <c r="R404">
        <v>1</v>
      </c>
      <c r="S404">
        <v>0</v>
      </c>
      <c r="T404">
        <v>0</v>
      </c>
      <c r="U404">
        <f>IF(openpolis_patrimoni_trasparenti_anno_2014[[#This Row],[totale_730_dichiarante]]&lt;&gt;0,LOG10(openpolis_patrimoni_trasparenti_anno_2014[[#This Row],[totale_730_dichiarante]]), 0)</f>
        <v>5.2558367212686816</v>
      </c>
    </row>
    <row r="405" spans="1:21" x14ac:dyDescent="0.3">
      <c r="A405">
        <v>686</v>
      </c>
      <c r="B405" s="1" t="s">
        <v>749</v>
      </c>
      <c r="C405" s="1" t="s">
        <v>364</v>
      </c>
      <c r="D405" s="2">
        <v>23735</v>
      </c>
      <c r="E405" s="1" t="s">
        <v>41</v>
      </c>
      <c r="F405" s="1" t="s">
        <v>30</v>
      </c>
      <c r="G405" s="1" t="s">
        <v>36</v>
      </c>
      <c r="H405" s="1" t="s">
        <v>54</v>
      </c>
      <c r="I405" s="1" t="s">
        <v>169</v>
      </c>
      <c r="J405">
        <v>132570</v>
      </c>
      <c r="K405">
        <v>0</v>
      </c>
      <c r="L405">
        <v>0</v>
      </c>
      <c r="M405">
        <v>0</v>
      </c>
      <c r="N405">
        <v>3</v>
      </c>
      <c r="O405" s="1" t="s">
        <v>32</v>
      </c>
      <c r="P405">
        <v>11</v>
      </c>
      <c r="Q405">
        <v>1</v>
      </c>
      <c r="R405">
        <v>0</v>
      </c>
      <c r="S405">
        <v>0</v>
      </c>
      <c r="T405">
        <v>0</v>
      </c>
      <c r="U405">
        <f>IF(openpolis_patrimoni_trasparenti_anno_2014[[#This Row],[totale_730_dichiarante]]&lt;&gt;0,LOG10(openpolis_patrimoni_trasparenti_anno_2014[[#This Row],[totale_730_dichiarante]]), 0)</f>
        <v>5.1224452562819556</v>
      </c>
    </row>
    <row r="406" spans="1:21" x14ac:dyDescent="0.3">
      <c r="A406">
        <v>332892</v>
      </c>
      <c r="B406" s="1" t="s">
        <v>750</v>
      </c>
      <c r="C406" s="1" t="s">
        <v>751</v>
      </c>
      <c r="D406" s="2">
        <v>19678</v>
      </c>
      <c r="E406" s="1" t="s">
        <v>156</v>
      </c>
      <c r="F406" s="1" t="s">
        <v>30</v>
      </c>
      <c r="G406" s="1" t="s">
        <v>36</v>
      </c>
      <c r="H406" s="1" t="s">
        <v>54</v>
      </c>
      <c r="I406" s="1" t="s">
        <v>50</v>
      </c>
      <c r="J406">
        <v>114751</v>
      </c>
      <c r="K406">
        <v>0</v>
      </c>
      <c r="L406">
        <v>0</v>
      </c>
      <c r="M406">
        <v>0</v>
      </c>
      <c r="N406">
        <v>3</v>
      </c>
      <c r="O406" s="1" t="s">
        <v>32</v>
      </c>
      <c r="P406">
        <v>5</v>
      </c>
      <c r="Q406">
        <v>1</v>
      </c>
      <c r="R406">
        <v>0</v>
      </c>
      <c r="S406">
        <v>1</v>
      </c>
      <c r="T406">
        <v>0</v>
      </c>
      <c r="U406">
        <f>IF(openpolis_patrimoni_trasparenti_anno_2014[[#This Row],[totale_730_dichiarante]]&lt;&gt;0,LOG10(openpolis_patrimoni_trasparenti_anno_2014[[#This Row],[totale_730_dichiarante]]), 0)</f>
        <v>5.0597564788941751</v>
      </c>
    </row>
    <row r="407" spans="1:21" x14ac:dyDescent="0.3">
      <c r="A407">
        <v>686668</v>
      </c>
      <c r="B407" s="1" t="s">
        <v>65</v>
      </c>
      <c r="C407" s="1" t="s">
        <v>752</v>
      </c>
      <c r="D407" s="2">
        <v>27145</v>
      </c>
      <c r="E407" s="1" t="s">
        <v>532</v>
      </c>
      <c r="F407" s="1" t="s">
        <v>30</v>
      </c>
      <c r="G407" s="1" t="s">
        <v>102</v>
      </c>
      <c r="H407" s="1" t="s">
        <v>102</v>
      </c>
      <c r="I407" s="1" t="s">
        <v>38</v>
      </c>
      <c r="J407">
        <v>78257</v>
      </c>
      <c r="K407">
        <v>0</v>
      </c>
      <c r="L407">
        <v>0</v>
      </c>
      <c r="M407">
        <v>0</v>
      </c>
      <c r="N407">
        <v>2</v>
      </c>
      <c r="O407" s="1" t="s">
        <v>43</v>
      </c>
      <c r="P407">
        <v>3</v>
      </c>
      <c r="Q407">
        <v>2</v>
      </c>
      <c r="R407">
        <v>4</v>
      </c>
      <c r="S407">
        <v>2</v>
      </c>
      <c r="T407">
        <v>0</v>
      </c>
      <c r="U407">
        <f>IF(openpolis_patrimoni_trasparenti_anno_2014[[#This Row],[totale_730_dichiarante]]&lt;&gt;0,LOG10(openpolis_patrimoni_trasparenti_anno_2014[[#This Row],[totale_730_dichiarante]]), 0)</f>
        <v>4.8935231951054412</v>
      </c>
    </row>
    <row r="408" spans="1:21" x14ac:dyDescent="0.3">
      <c r="A408">
        <v>686259</v>
      </c>
      <c r="B408" s="1" t="s">
        <v>319</v>
      </c>
      <c r="C408" s="1" t="s">
        <v>753</v>
      </c>
      <c r="D408" s="2">
        <v>27572</v>
      </c>
      <c r="E408" s="1" t="s">
        <v>49</v>
      </c>
      <c r="F408" s="1" t="s">
        <v>30</v>
      </c>
      <c r="G408" s="1" t="s">
        <v>102</v>
      </c>
      <c r="H408" s="1" t="s">
        <v>54</v>
      </c>
      <c r="I408" s="1" t="s">
        <v>191</v>
      </c>
      <c r="J408">
        <v>78229.8</v>
      </c>
      <c r="K408">
        <v>0</v>
      </c>
      <c r="L408">
        <v>0</v>
      </c>
      <c r="M408">
        <v>0</v>
      </c>
      <c r="N408">
        <v>2</v>
      </c>
      <c r="O408" s="1" t="s">
        <v>43</v>
      </c>
      <c r="P408">
        <v>1</v>
      </c>
      <c r="Q408">
        <v>0</v>
      </c>
      <c r="R408">
        <v>1</v>
      </c>
      <c r="S408">
        <v>0</v>
      </c>
      <c r="T408">
        <v>0</v>
      </c>
      <c r="U408">
        <f>IF(openpolis_patrimoni_trasparenti_anno_2014[[#This Row],[totale_730_dichiarante]]&lt;&gt;0,LOG10(openpolis_patrimoni_trasparenti_anno_2014[[#This Row],[totale_730_dichiarante]]), 0)</f>
        <v>4.893372219942977</v>
      </c>
    </row>
    <row r="409" spans="1:21" x14ac:dyDescent="0.3">
      <c r="A409">
        <v>681</v>
      </c>
      <c r="B409" s="1" t="s">
        <v>265</v>
      </c>
      <c r="C409" s="1" t="s">
        <v>754</v>
      </c>
      <c r="D409" s="2">
        <v>21961</v>
      </c>
      <c r="E409" s="1" t="s">
        <v>249</v>
      </c>
      <c r="F409" s="1" t="s">
        <v>30</v>
      </c>
      <c r="G409" s="1" t="s">
        <v>24</v>
      </c>
      <c r="H409" s="1" t="s">
        <v>24</v>
      </c>
      <c r="I409" s="1" t="s">
        <v>46</v>
      </c>
      <c r="J409">
        <v>123611</v>
      </c>
      <c r="K409">
        <v>0</v>
      </c>
      <c r="L409">
        <v>0</v>
      </c>
      <c r="M409">
        <v>0</v>
      </c>
      <c r="N409">
        <v>3</v>
      </c>
      <c r="O409" s="1" t="s">
        <v>32</v>
      </c>
      <c r="P409">
        <v>0</v>
      </c>
      <c r="Q409">
        <v>0</v>
      </c>
      <c r="R409">
        <v>0</v>
      </c>
      <c r="S409">
        <v>2</v>
      </c>
      <c r="T409">
        <v>1</v>
      </c>
      <c r="U409">
        <f>IF(openpolis_patrimoni_trasparenti_anno_2014[[#This Row],[totale_730_dichiarante]]&lt;&gt;0,LOG10(openpolis_patrimoni_trasparenti_anno_2014[[#This Row],[totale_730_dichiarante]]), 0)</f>
        <v>5.0920571198364062</v>
      </c>
    </row>
    <row r="410" spans="1:21" x14ac:dyDescent="0.3">
      <c r="A410">
        <v>4755</v>
      </c>
      <c r="B410" s="1" t="s">
        <v>99</v>
      </c>
      <c r="C410" s="1" t="s">
        <v>755</v>
      </c>
      <c r="D410" s="2">
        <v>27244</v>
      </c>
      <c r="E410" s="1" t="s">
        <v>156</v>
      </c>
      <c r="F410" s="1" t="s">
        <v>30</v>
      </c>
      <c r="G410" s="1" t="s">
        <v>24</v>
      </c>
      <c r="H410" s="1" t="s">
        <v>24</v>
      </c>
      <c r="I410" s="1" t="s">
        <v>111</v>
      </c>
      <c r="J410">
        <v>96656</v>
      </c>
      <c r="K410">
        <v>0</v>
      </c>
      <c r="L410">
        <v>0</v>
      </c>
      <c r="M410">
        <v>0</v>
      </c>
      <c r="N410">
        <v>3</v>
      </c>
      <c r="O410" s="1" t="s">
        <v>32</v>
      </c>
      <c r="P410">
        <v>3</v>
      </c>
      <c r="Q410">
        <v>0</v>
      </c>
      <c r="R410">
        <v>2</v>
      </c>
      <c r="S410">
        <v>2</v>
      </c>
      <c r="T410">
        <v>0</v>
      </c>
      <c r="U410">
        <f>IF(openpolis_patrimoni_trasparenti_anno_2014[[#This Row],[totale_730_dichiarante]]&lt;&gt;0,LOG10(openpolis_patrimoni_trasparenti_anno_2014[[#This Row],[totale_730_dichiarante]]), 0)</f>
        <v>4.9852288183853908</v>
      </c>
    </row>
    <row r="411" spans="1:21" x14ac:dyDescent="0.3">
      <c r="A411">
        <v>687431</v>
      </c>
      <c r="B411" s="1" t="s">
        <v>756</v>
      </c>
      <c r="C411" s="1" t="s">
        <v>757</v>
      </c>
      <c r="D411" s="2">
        <v>31242</v>
      </c>
      <c r="E411" s="1" t="s">
        <v>114</v>
      </c>
      <c r="F411" s="1" t="s">
        <v>30</v>
      </c>
      <c r="G411" s="1" t="s">
        <v>126</v>
      </c>
      <c r="H411" s="1" t="s">
        <v>127</v>
      </c>
      <c r="I411" s="1" t="s">
        <v>58</v>
      </c>
      <c r="J411">
        <v>78432</v>
      </c>
      <c r="K411">
        <v>0</v>
      </c>
      <c r="L411">
        <v>0</v>
      </c>
      <c r="M411">
        <v>0</v>
      </c>
      <c r="N411">
        <v>3</v>
      </c>
      <c r="O411" s="1" t="s">
        <v>32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f>IF(openpolis_patrimoni_trasparenti_anno_2014[[#This Row],[totale_730_dichiarante]]&lt;&gt;0,LOG10(openpolis_patrimoni_trasparenti_anno_2014[[#This Row],[totale_730_dichiarante]]), 0)</f>
        <v>4.8944932895719839</v>
      </c>
    </row>
    <row r="412" spans="1:21" x14ac:dyDescent="0.3">
      <c r="A412">
        <v>385100</v>
      </c>
      <c r="B412" s="1" t="s">
        <v>242</v>
      </c>
      <c r="C412" s="1" t="s">
        <v>758</v>
      </c>
      <c r="D412" s="2">
        <v>21877</v>
      </c>
      <c r="E412" s="1" t="s">
        <v>49</v>
      </c>
      <c r="F412" s="1" t="s">
        <v>30</v>
      </c>
      <c r="G412" s="1" t="s">
        <v>24</v>
      </c>
      <c r="H412" s="1" t="s">
        <v>24</v>
      </c>
      <c r="I412" s="1" t="s">
        <v>169</v>
      </c>
      <c r="J412">
        <v>89325</v>
      </c>
      <c r="K412">
        <v>0</v>
      </c>
      <c r="L412">
        <v>0</v>
      </c>
      <c r="M412">
        <v>0</v>
      </c>
      <c r="N412">
        <v>3</v>
      </c>
      <c r="O412" s="1" t="s">
        <v>32</v>
      </c>
      <c r="P412">
        <v>3</v>
      </c>
      <c r="Q412">
        <v>1</v>
      </c>
      <c r="R412">
        <v>1</v>
      </c>
      <c r="S412">
        <v>0</v>
      </c>
      <c r="T412">
        <v>0</v>
      </c>
      <c r="U412">
        <f>IF(openpolis_patrimoni_trasparenti_anno_2014[[#This Row],[totale_730_dichiarante]]&lt;&gt;0,LOG10(openpolis_patrimoni_trasparenti_anno_2014[[#This Row],[totale_730_dichiarante]]), 0)</f>
        <v>4.9509730248744779</v>
      </c>
    </row>
    <row r="413" spans="1:21" x14ac:dyDescent="0.3">
      <c r="A413">
        <v>676</v>
      </c>
      <c r="B413" s="1" t="s">
        <v>759</v>
      </c>
      <c r="C413" s="1" t="s">
        <v>760</v>
      </c>
      <c r="D413" s="2">
        <v>20210</v>
      </c>
      <c r="E413" s="1" t="s">
        <v>156</v>
      </c>
      <c r="F413" s="1" t="s">
        <v>30</v>
      </c>
      <c r="G413" s="1" t="s">
        <v>24</v>
      </c>
      <c r="H413" s="1" t="s">
        <v>24</v>
      </c>
      <c r="I413" s="1" t="s">
        <v>72</v>
      </c>
      <c r="J413">
        <v>99452</v>
      </c>
      <c r="K413">
        <v>0</v>
      </c>
      <c r="L413">
        <v>0</v>
      </c>
      <c r="M413">
        <v>0</v>
      </c>
      <c r="N413">
        <v>2</v>
      </c>
      <c r="O413" s="1" t="s">
        <v>43</v>
      </c>
      <c r="P413">
        <v>6</v>
      </c>
      <c r="Q413">
        <v>0</v>
      </c>
      <c r="R413">
        <v>1</v>
      </c>
      <c r="S413">
        <v>0</v>
      </c>
      <c r="T413">
        <v>0</v>
      </c>
      <c r="U413">
        <f>IF(openpolis_patrimoni_trasparenti_anno_2014[[#This Row],[totale_730_dichiarante]]&lt;&gt;0,LOG10(openpolis_patrimoni_trasparenti_anno_2014[[#This Row],[totale_730_dichiarante]]), 0)</f>
        <v>4.9976135212988657</v>
      </c>
    </row>
    <row r="414" spans="1:21" x14ac:dyDescent="0.3">
      <c r="A414">
        <v>674</v>
      </c>
      <c r="B414" s="1" t="s">
        <v>141</v>
      </c>
      <c r="C414" s="1" t="s">
        <v>761</v>
      </c>
      <c r="D414" s="2">
        <v>25958</v>
      </c>
      <c r="E414" s="1" t="s">
        <v>41</v>
      </c>
      <c r="F414" s="1" t="s">
        <v>30</v>
      </c>
      <c r="G414" s="1" t="s">
        <v>36</v>
      </c>
      <c r="H414" s="1" t="s">
        <v>37</v>
      </c>
      <c r="I414" s="1" t="s">
        <v>72</v>
      </c>
      <c r="J414">
        <v>114427</v>
      </c>
      <c r="K414">
        <v>0</v>
      </c>
      <c r="L414">
        <v>0</v>
      </c>
      <c r="M414">
        <v>0</v>
      </c>
      <c r="N414">
        <v>3</v>
      </c>
      <c r="O414" s="1" t="s">
        <v>32</v>
      </c>
      <c r="P414">
        <v>4</v>
      </c>
      <c r="Q414">
        <v>0</v>
      </c>
      <c r="R414">
        <v>0</v>
      </c>
      <c r="S414">
        <v>2</v>
      </c>
      <c r="T414">
        <v>0</v>
      </c>
      <c r="U414">
        <f>IF(openpolis_patrimoni_trasparenti_anno_2014[[#This Row],[totale_730_dichiarante]]&lt;&gt;0,LOG10(openpolis_patrimoni_trasparenti_anno_2014[[#This Row],[totale_730_dichiarante]]), 0)</f>
        <v>5.0585285119350196</v>
      </c>
    </row>
    <row r="415" spans="1:21" x14ac:dyDescent="0.3">
      <c r="A415">
        <v>5017</v>
      </c>
      <c r="B415" s="1" t="s">
        <v>762</v>
      </c>
      <c r="C415" s="1" t="s">
        <v>763</v>
      </c>
      <c r="D415" s="2">
        <v>20152</v>
      </c>
      <c r="E415" s="1" t="s">
        <v>35</v>
      </c>
      <c r="F415" s="1" t="s">
        <v>30</v>
      </c>
      <c r="G415" s="1" t="s">
        <v>126</v>
      </c>
      <c r="H415" s="1" t="s">
        <v>24</v>
      </c>
      <c r="I415" s="1" t="s">
        <v>132</v>
      </c>
      <c r="J415">
        <v>85785</v>
      </c>
      <c r="K415">
        <v>0</v>
      </c>
      <c r="L415">
        <v>0</v>
      </c>
      <c r="M415">
        <v>0</v>
      </c>
      <c r="N415">
        <v>3</v>
      </c>
      <c r="O415" s="1" t="s">
        <v>32</v>
      </c>
      <c r="P415">
        <v>1</v>
      </c>
      <c r="Q415">
        <v>0</v>
      </c>
      <c r="R415">
        <v>1</v>
      </c>
      <c r="S415">
        <v>0</v>
      </c>
      <c r="T415">
        <v>1</v>
      </c>
      <c r="U415">
        <f>IF(openpolis_patrimoni_trasparenti_anno_2014[[#This Row],[totale_730_dichiarante]]&lt;&gt;0,LOG10(openpolis_patrimoni_trasparenti_anno_2014[[#This Row],[totale_730_dichiarante]]), 0)</f>
        <v>4.9334113556023533</v>
      </c>
    </row>
    <row r="416" spans="1:21" x14ac:dyDescent="0.3">
      <c r="A416">
        <v>686560</v>
      </c>
      <c r="B416" s="1" t="s">
        <v>764</v>
      </c>
      <c r="C416" s="1" t="s">
        <v>765</v>
      </c>
      <c r="D416" s="2">
        <v>30749</v>
      </c>
      <c r="E416" s="1" t="s">
        <v>22</v>
      </c>
      <c r="F416" s="1" t="s">
        <v>30</v>
      </c>
      <c r="G416" s="1" t="s">
        <v>24</v>
      </c>
      <c r="H416" s="1" t="s">
        <v>24</v>
      </c>
      <c r="I416" s="1" t="s">
        <v>38</v>
      </c>
      <c r="J416">
        <v>78229.8</v>
      </c>
      <c r="K416">
        <v>0</v>
      </c>
      <c r="L416">
        <v>0</v>
      </c>
      <c r="M416">
        <v>0</v>
      </c>
      <c r="N416">
        <v>3</v>
      </c>
      <c r="O416" s="1" t="s">
        <v>90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f>IF(openpolis_patrimoni_trasparenti_anno_2014[[#This Row],[totale_730_dichiarante]]&lt;&gt;0,LOG10(openpolis_patrimoni_trasparenti_anno_2014[[#This Row],[totale_730_dichiarante]]), 0)</f>
        <v>4.893372219942977</v>
      </c>
    </row>
    <row r="417" spans="1:21" x14ac:dyDescent="0.3">
      <c r="A417">
        <v>4445</v>
      </c>
      <c r="B417" s="1" t="s">
        <v>766</v>
      </c>
      <c r="C417" s="1" t="s">
        <v>767</v>
      </c>
      <c r="D417" s="2">
        <v>25690</v>
      </c>
      <c r="E417" s="1" t="s">
        <v>35</v>
      </c>
      <c r="F417" s="1" t="s">
        <v>30</v>
      </c>
      <c r="G417" s="1" t="s">
        <v>25</v>
      </c>
      <c r="H417" s="1" t="s">
        <v>68</v>
      </c>
      <c r="I417" s="1" t="s">
        <v>194</v>
      </c>
      <c r="J417">
        <v>84462</v>
      </c>
      <c r="K417">
        <v>0</v>
      </c>
      <c r="L417">
        <v>0</v>
      </c>
      <c r="M417">
        <v>0</v>
      </c>
      <c r="N417">
        <v>3</v>
      </c>
      <c r="O417" s="1" t="s">
        <v>32</v>
      </c>
      <c r="P417">
        <v>0</v>
      </c>
      <c r="Q417">
        <v>5</v>
      </c>
      <c r="R417">
        <v>1</v>
      </c>
      <c r="S417">
        <v>0</v>
      </c>
      <c r="T417">
        <v>0</v>
      </c>
      <c r="U417">
        <f>IF(openpolis_patrimoni_trasparenti_anno_2014[[#This Row],[totale_730_dichiarante]]&lt;&gt;0,LOG10(openpolis_patrimoni_trasparenti_anno_2014[[#This Row],[totale_730_dichiarante]]), 0)</f>
        <v>4.9266613609946424</v>
      </c>
    </row>
    <row r="418" spans="1:21" x14ac:dyDescent="0.3">
      <c r="A418">
        <v>687289</v>
      </c>
      <c r="B418" s="1" t="s">
        <v>768</v>
      </c>
      <c r="C418" s="1" t="s">
        <v>769</v>
      </c>
      <c r="D418" s="2">
        <v>16602</v>
      </c>
      <c r="E418" s="1" t="s">
        <v>35</v>
      </c>
      <c r="F418" s="1" t="s">
        <v>30</v>
      </c>
      <c r="G418" s="1" t="s">
        <v>25</v>
      </c>
      <c r="H418" s="1" t="s">
        <v>68</v>
      </c>
      <c r="I418" s="1" t="s">
        <v>55</v>
      </c>
      <c r="J418">
        <v>78230</v>
      </c>
      <c r="K418">
        <v>0</v>
      </c>
      <c r="L418">
        <v>0</v>
      </c>
      <c r="M418">
        <v>0</v>
      </c>
      <c r="N418">
        <v>3</v>
      </c>
      <c r="O418" s="1" t="s">
        <v>32</v>
      </c>
      <c r="P418">
        <v>9</v>
      </c>
      <c r="Q418">
        <v>0</v>
      </c>
      <c r="R418">
        <v>0</v>
      </c>
      <c r="S418">
        <v>13</v>
      </c>
      <c r="T418">
        <v>3</v>
      </c>
      <c r="U418">
        <f>IF(openpolis_patrimoni_trasparenti_anno_2014[[#This Row],[totale_730_dichiarante]]&lt;&gt;0,LOG10(openpolis_patrimoni_trasparenti_anno_2014[[#This Row],[totale_730_dichiarante]]), 0)</f>
        <v>4.8933733302460247</v>
      </c>
    </row>
    <row r="419" spans="1:21" x14ac:dyDescent="0.3">
      <c r="A419">
        <v>686277</v>
      </c>
      <c r="B419" s="1" t="s">
        <v>305</v>
      </c>
      <c r="C419" s="1" t="s">
        <v>770</v>
      </c>
      <c r="D419" s="2">
        <v>26190</v>
      </c>
      <c r="E419" s="1" t="s">
        <v>22</v>
      </c>
      <c r="F419" s="1" t="s">
        <v>30</v>
      </c>
      <c r="G419" s="1" t="s">
        <v>126</v>
      </c>
      <c r="H419" s="1" t="s">
        <v>127</v>
      </c>
      <c r="I419" s="1" t="s">
        <v>31</v>
      </c>
      <c r="J419">
        <v>78230</v>
      </c>
      <c r="K419">
        <v>0</v>
      </c>
      <c r="L419">
        <v>0</v>
      </c>
      <c r="M419">
        <v>0</v>
      </c>
      <c r="N419">
        <v>2</v>
      </c>
      <c r="O419" s="1" t="s">
        <v>43</v>
      </c>
      <c r="P419">
        <v>0</v>
      </c>
      <c r="Q419">
        <v>0</v>
      </c>
      <c r="R419">
        <v>1</v>
      </c>
      <c r="S419">
        <v>0</v>
      </c>
      <c r="T419">
        <v>0</v>
      </c>
      <c r="U419">
        <f>IF(openpolis_patrimoni_trasparenti_anno_2014[[#This Row],[totale_730_dichiarante]]&lt;&gt;0,LOG10(openpolis_patrimoni_trasparenti_anno_2014[[#This Row],[totale_730_dichiarante]]), 0)</f>
        <v>4.8933733302460247</v>
      </c>
    </row>
    <row r="420" spans="1:21" x14ac:dyDescent="0.3">
      <c r="A420">
        <v>686262</v>
      </c>
      <c r="B420" s="1" t="s">
        <v>771</v>
      </c>
      <c r="C420" s="1" t="s">
        <v>772</v>
      </c>
      <c r="D420" s="2">
        <v>26786</v>
      </c>
      <c r="E420" s="1" t="s">
        <v>49</v>
      </c>
      <c r="F420" s="1" t="s">
        <v>30</v>
      </c>
      <c r="G420" s="1" t="s">
        <v>102</v>
      </c>
      <c r="H420" s="1" t="s">
        <v>54</v>
      </c>
      <c r="I420" s="1" t="s">
        <v>191</v>
      </c>
      <c r="J420">
        <v>106924</v>
      </c>
      <c r="K420">
        <v>0</v>
      </c>
      <c r="L420">
        <v>0</v>
      </c>
      <c r="M420">
        <v>0</v>
      </c>
      <c r="N420">
        <v>3</v>
      </c>
      <c r="O420" s="1" t="s">
        <v>32</v>
      </c>
      <c r="P420">
        <v>1</v>
      </c>
      <c r="Q420">
        <v>0</v>
      </c>
      <c r="R420">
        <v>1</v>
      </c>
      <c r="S420">
        <v>0</v>
      </c>
      <c r="T420">
        <v>0</v>
      </c>
      <c r="U420">
        <f>IF(openpolis_patrimoni_trasparenti_anno_2014[[#This Row],[totale_730_dichiarante]]&lt;&gt;0,LOG10(openpolis_patrimoni_trasparenti_anno_2014[[#This Row],[totale_730_dichiarante]]), 0)</f>
        <v>5.0290751972359544</v>
      </c>
    </row>
    <row r="421" spans="1:21" x14ac:dyDescent="0.3">
      <c r="A421">
        <v>686297</v>
      </c>
      <c r="B421" s="1" t="s">
        <v>773</v>
      </c>
      <c r="C421" s="1" t="s">
        <v>774</v>
      </c>
      <c r="D421" s="2">
        <v>30178</v>
      </c>
      <c r="E421" s="1" t="s">
        <v>29</v>
      </c>
      <c r="F421" s="1" t="s">
        <v>30</v>
      </c>
      <c r="G421" s="1" t="s">
        <v>24</v>
      </c>
      <c r="H421" s="1" t="s">
        <v>24</v>
      </c>
      <c r="I421" s="1" t="s">
        <v>64</v>
      </c>
      <c r="J421">
        <v>88316</v>
      </c>
      <c r="K421">
        <v>0</v>
      </c>
      <c r="L421">
        <v>0</v>
      </c>
      <c r="M421">
        <v>0</v>
      </c>
      <c r="N421">
        <v>3</v>
      </c>
      <c r="O421" s="1" t="s">
        <v>32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f>IF(openpolis_patrimoni_trasparenti_anno_2014[[#This Row],[totale_730_dichiarante]]&lt;&gt;0,LOG10(openpolis_patrimoni_trasparenti_anno_2014[[#This Row],[totale_730_dichiarante]]), 0)</f>
        <v>4.9460393908055602</v>
      </c>
    </row>
    <row r="422" spans="1:21" x14ac:dyDescent="0.3">
      <c r="A422">
        <v>4575</v>
      </c>
      <c r="B422" s="1" t="s">
        <v>242</v>
      </c>
      <c r="C422" s="1" t="s">
        <v>775</v>
      </c>
      <c r="D422" s="2">
        <v>20199</v>
      </c>
      <c r="E422" s="1" t="s">
        <v>140</v>
      </c>
      <c r="F422" s="1" t="s">
        <v>30</v>
      </c>
      <c r="G422" s="1" t="s">
        <v>24</v>
      </c>
      <c r="H422" s="1" t="s">
        <v>24</v>
      </c>
      <c r="I422" s="1" t="s">
        <v>64</v>
      </c>
      <c r="J422">
        <v>25705</v>
      </c>
      <c r="K422">
        <v>0</v>
      </c>
      <c r="L422">
        <v>0</v>
      </c>
      <c r="M422">
        <v>0</v>
      </c>
      <c r="N422">
        <v>3</v>
      </c>
      <c r="O422" s="1" t="s">
        <v>32</v>
      </c>
      <c r="P422">
        <v>6</v>
      </c>
      <c r="Q422">
        <v>5</v>
      </c>
      <c r="R422">
        <v>0</v>
      </c>
      <c r="S422">
        <v>0</v>
      </c>
      <c r="T422">
        <v>2</v>
      </c>
      <c r="U422">
        <f>IF(openpolis_patrimoni_trasparenti_anno_2014[[#This Row],[totale_730_dichiarante]]&lt;&gt;0,LOG10(openpolis_patrimoni_trasparenti_anno_2014[[#This Row],[totale_730_dichiarante]]), 0)</f>
        <v>4.4100176082030531</v>
      </c>
    </row>
    <row r="423" spans="1:21" x14ac:dyDescent="0.3">
      <c r="A423">
        <v>686351</v>
      </c>
      <c r="B423" s="1" t="s">
        <v>776</v>
      </c>
      <c r="C423" s="1" t="s">
        <v>777</v>
      </c>
      <c r="D423" s="2">
        <v>20363</v>
      </c>
      <c r="E423" s="1" t="s">
        <v>29</v>
      </c>
      <c r="F423" s="1" t="s">
        <v>30</v>
      </c>
      <c r="G423" s="1" t="s">
        <v>24</v>
      </c>
      <c r="H423" s="1" t="s">
        <v>24</v>
      </c>
      <c r="I423" s="1" t="s">
        <v>72</v>
      </c>
      <c r="J423">
        <v>111197</v>
      </c>
      <c r="K423">
        <v>0</v>
      </c>
      <c r="L423">
        <v>0</v>
      </c>
      <c r="M423">
        <v>0</v>
      </c>
      <c r="N423">
        <v>3</v>
      </c>
      <c r="O423" s="1" t="s">
        <v>32</v>
      </c>
      <c r="P423">
        <v>4</v>
      </c>
      <c r="Q423">
        <v>0</v>
      </c>
      <c r="R423">
        <v>1</v>
      </c>
      <c r="S423">
        <v>1</v>
      </c>
      <c r="T423">
        <v>0</v>
      </c>
      <c r="U423">
        <f>IF(openpolis_patrimoni_trasparenti_anno_2014[[#This Row],[totale_730_dichiarante]]&lt;&gt;0,LOG10(openpolis_patrimoni_trasparenti_anno_2014[[#This Row],[totale_730_dichiarante]]), 0)</f>
        <v>5.0460930705102394</v>
      </c>
    </row>
    <row r="424" spans="1:21" x14ac:dyDescent="0.3">
      <c r="A424">
        <v>662</v>
      </c>
      <c r="B424" s="1" t="s">
        <v>778</v>
      </c>
      <c r="C424" s="1" t="s">
        <v>779</v>
      </c>
      <c r="D424" s="2">
        <v>24457</v>
      </c>
      <c r="E424" s="1" t="s">
        <v>35</v>
      </c>
      <c r="F424" s="1" t="s">
        <v>30</v>
      </c>
      <c r="G424" s="1" t="s">
        <v>36</v>
      </c>
      <c r="H424" s="1" t="s">
        <v>37</v>
      </c>
      <c r="I424" s="1" t="s">
        <v>38</v>
      </c>
      <c r="J424">
        <v>158412</v>
      </c>
      <c r="K424">
        <v>0</v>
      </c>
      <c r="L424">
        <v>0</v>
      </c>
      <c r="M424">
        <v>0</v>
      </c>
      <c r="N424">
        <v>3</v>
      </c>
      <c r="O424" s="1" t="s">
        <v>32</v>
      </c>
      <c r="P424">
        <v>7</v>
      </c>
      <c r="Q424">
        <v>0</v>
      </c>
      <c r="R424">
        <v>2</v>
      </c>
      <c r="S424">
        <v>2</v>
      </c>
      <c r="T424">
        <v>0</v>
      </c>
      <c r="U424">
        <f>IF(openpolis_patrimoni_trasparenti_anno_2014[[#This Row],[totale_730_dichiarante]]&lt;&gt;0,LOG10(openpolis_patrimoni_trasparenti_anno_2014[[#This Row],[totale_730_dichiarante]]), 0)</f>
        <v>5.1997880771043983</v>
      </c>
    </row>
    <row r="425" spans="1:21" x14ac:dyDescent="0.3">
      <c r="A425">
        <v>418631</v>
      </c>
      <c r="B425" s="1" t="s">
        <v>138</v>
      </c>
      <c r="C425" s="1" t="s">
        <v>780</v>
      </c>
      <c r="D425" s="2">
        <v>31053</v>
      </c>
      <c r="E425" s="1" t="s">
        <v>22</v>
      </c>
      <c r="F425" s="1" t="s">
        <v>30</v>
      </c>
      <c r="G425" s="1" t="s">
        <v>53</v>
      </c>
      <c r="H425" s="1" t="s">
        <v>54</v>
      </c>
      <c r="I425" s="1" t="s">
        <v>178</v>
      </c>
      <c r="J425">
        <v>92894</v>
      </c>
      <c r="K425">
        <v>0</v>
      </c>
      <c r="L425">
        <v>0</v>
      </c>
      <c r="M425">
        <v>0</v>
      </c>
      <c r="N425">
        <v>3</v>
      </c>
      <c r="O425" s="1" t="s">
        <v>32</v>
      </c>
      <c r="P425">
        <v>0</v>
      </c>
      <c r="Q425">
        <v>0</v>
      </c>
      <c r="R425">
        <v>3</v>
      </c>
      <c r="S425">
        <v>0</v>
      </c>
      <c r="T425">
        <v>0</v>
      </c>
      <c r="U425">
        <f>IF(openpolis_patrimoni_trasparenti_anno_2014[[#This Row],[totale_730_dichiarante]]&lt;&gt;0,LOG10(openpolis_patrimoni_trasparenti_anno_2014[[#This Row],[totale_730_dichiarante]]), 0)</f>
        <v>4.9679876639285983</v>
      </c>
    </row>
    <row r="426" spans="1:21" x14ac:dyDescent="0.3">
      <c r="A426">
        <v>332882</v>
      </c>
      <c r="B426" s="1" t="s">
        <v>781</v>
      </c>
      <c r="C426" s="1" t="s">
        <v>782</v>
      </c>
      <c r="D426" s="2">
        <v>21820</v>
      </c>
      <c r="E426" s="1" t="s">
        <v>35</v>
      </c>
      <c r="F426" s="1" t="s">
        <v>30</v>
      </c>
      <c r="G426" s="1" t="s">
        <v>24</v>
      </c>
      <c r="H426" s="1" t="s">
        <v>24</v>
      </c>
      <c r="I426" s="1" t="s">
        <v>200</v>
      </c>
      <c r="J426">
        <v>202418</v>
      </c>
      <c r="K426">
        <v>0</v>
      </c>
      <c r="L426">
        <v>0</v>
      </c>
      <c r="M426">
        <v>0</v>
      </c>
      <c r="N426">
        <v>3</v>
      </c>
      <c r="O426" s="1" t="s">
        <v>32</v>
      </c>
      <c r="P426">
        <v>2</v>
      </c>
      <c r="Q426">
        <v>0</v>
      </c>
      <c r="R426">
        <v>0</v>
      </c>
      <c r="S426">
        <v>0</v>
      </c>
      <c r="T426">
        <v>0</v>
      </c>
      <c r="U426">
        <f>IF(openpolis_patrimoni_trasparenti_anno_2014[[#This Row],[totale_730_dichiarante]]&lt;&gt;0,LOG10(openpolis_patrimoni_trasparenti_anno_2014[[#This Row],[totale_730_dichiarante]]), 0)</f>
        <v>5.3062491294774832</v>
      </c>
    </row>
    <row r="427" spans="1:21" x14ac:dyDescent="0.3">
      <c r="A427">
        <v>332878</v>
      </c>
      <c r="B427" s="1" t="s">
        <v>783</v>
      </c>
      <c r="C427" s="1" t="s">
        <v>784</v>
      </c>
      <c r="D427" s="2">
        <v>24656</v>
      </c>
      <c r="E427" s="1" t="s">
        <v>35</v>
      </c>
      <c r="F427" s="1" t="s">
        <v>30</v>
      </c>
      <c r="G427" s="1" t="s">
        <v>36</v>
      </c>
      <c r="H427" s="1" t="s">
        <v>37</v>
      </c>
      <c r="I427" s="1" t="s">
        <v>55</v>
      </c>
      <c r="J427">
        <v>100654</v>
      </c>
      <c r="K427">
        <v>0</v>
      </c>
      <c r="L427">
        <v>0</v>
      </c>
      <c r="M427">
        <v>0</v>
      </c>
      <c r="N427">
        <v>3</v>
      </c>
      <c r="O427" s="1" t="s">
        <v>32</v>
      </c>
      <c r="P427">
        <v>13</v>
      </c>
      <c r="Q427">
        <v>0</v>
      </c>
      <c r="R427">
        <v>1</v>
      </c>
      <c r="S427">
        <v>1</v>
      </c>
      <c r="T427">
        <v>0</v>
      </c>
      <c r="U427">
        <f>IF(openpolis_patrimoni_trasparenti_anno_2014[[#This Row],[totale_730_dichiarante]]&lt;&gt;0,LOG10(openpolis_patrimoni_trasparenti_anno_2014[[#This Row],[totale_730_dichiarante]]), 0)</f>
        <v>5.0028310384736487</v>
      </c>
    </row>
    <row r="428" spans="1:21" x14ac:dyDescent="0.3">
      <c r="A428">
        <v>494771</v>
      </c>
      <c r="B428" s="1" t="s">
        <v>785</v>
      </c>
      <c r="C428" s="1" t="s">
        <v>786</v>
      </c>
      <c r="D428" s="2">
        <v>22780</v>
      </c>
      <c r="E428" s="1" t="s">
        <v>86</v>
      </c>
      <c r="F428" s="1" t="s">
        <v>30</v>
      </c>
      <c r="G428" s="1" t="s">
        <v>36</v>
      </c>
      <c r="H428" s="1" t="s">
        <v>37</v>
      </c>
      <c r="I428" s="1" t="s">
        <v>50</v>
      </c>
      <c r="J428">
        <v>109250</v>
      </c>
      <c r="K428">
        <v>0</v>
      </c>
      <c r="L428">
        <v>0</v>
      </c>
      <c r="M428">
        <v>0</v>
      </c>
      <c r="N428">
        <v>3</v>
      </c>
      <c r="O428" s="1" t="s">
        <v>32</v>
      </c>
      <c r="P428">
        <v>10</v>
      </c>
      <c r="Q428">
        <v>0</v>
      </c>
      <c r="R428">
        <v>2</v>
      </c>
      <c r="S428">
        <v>1</v>
      </c>
      <c r="T428">
        <v>0</v>
      </c>
      <c r="U428">
        <f>IF(openpolis_patrimoni_trasparenti_anno_2014[[#This Row],[totale_730_dichiarante]]&lt;&gt;0,LOG10(openpolis_patrimoni_trasparenti_anno_2014[[#This Row],[totale_730_dichiarante]]), 0)</f>
        <v>5.0384214456424594</v>
      </c>
    </row>
    <row r="429" spans="1:21" x14ac:dyDescent="0.3">
      <c r="A429">
        <v>29101</v>
      </c>
      <c r="B429" s="1" t="s">
        <v>787</v>
      </c>
      <c r="C429" s="1" t="s">
        <v>788</v>
      </c>
      <c r="D429" s="2">
        <v>21996</v>
      </c>
      <c r="E429" s="1" t="s">
        <v>136</v>
      </c>
      <c r="F429" s="1" t="s">
        <v>30</v>
      </c>
      <c r="G429" s="1" t="s">
        <v>283</v>
      </c>
      <c r="H429" s="1" t="s">
        <v>54</v>
      </c>
      <c r="I429" s="1" t="s">
        <v>284</v>
      </c>
      <c r="J429">
        <v>98716</v>
      </c>
      <c r="K429">
        <v>0</v>
      </c>
      <c r="L429">
        <v>0</v>
      </c>
      <c r="M429">
        <v>0</v>
      </c>
      <c r="N429">
        <v>3</v>
      </c>
      <c r="O429" s="1" t="s">
        <v>32</v>
      </c>
      <c r="P429">
        <v>1</v>
      </c>
      <c r="Q429">
        <v>1</v>
      </c>
      <c r="R429">
        <v>1</v>
      </c>
      <c r="S429">
        <v>1</v>
      </c>
      <c r="T429">
        <v>1</v>
      </c>
      <c r="U429">
        <f>IF(openpolis_patrimoni_trasparenti_anno_2014[[#This Row],[totale_730_dichiarante]]&lt;&gt;0,LOG10(openpolis_patrimoni_trasparenti_anno_2014[[#This Row],[totale_730_dichiarante]]), 0)</f>
        <v>4.9943875493115062</v>
      </c>
    </row>
    <row r="430" spans="1:21" x14ac:dyDescent="0.3">
      <c r="A430">
        <v>119774</v>
      </c>
      <c r="B430" s="1" t="s">
        <v>217</v>
      </c>
      <c r="C430" s="1" t="s">
        <v>789</v>
      </c>
      <c r="D430" s="2">
        <v>22734</v>
      </c>
      <c r="E430" s="1" t="s">
        <v>136</v>
      </c>
      <c r="F430" s="1" t="s">
        <v>30</v>
      </c>
      <c r="G430" s="1" t="s">
        <v>126</v>
      </c>
      <c r="H430" s="1" t="s">
        <v>127</v>
      </c>
      <c r="I430" s="1" t="s">
        <v>393</v>
      </c>
      <c r="J430">
        <v>60702</v>
      </c>
      <c r="K430">
        <v>0</v>
      </c>
      <c r="L430">
        <v>0</v>
      </c>
      <c r="M430">
        <v>0</v>
      </c>
      <c r="N430">
        <v>3</v>
      </c>
      <c r="O430" s="1" t="s">
        <v>32</v>
      </c>
      <c r="P430">
        <v>12</v>
      </c>
      <c r="Q430">
        <v>1</v>
      </c>
      <c r="R430">
        <v>0</v>
      </c>
      <c r="S430">
        <v>0</v>
      </c>
      <c r="T430">
        <v>0</v>
      </c>
      <c r="U430">
        <f>IF(openpolis_patrimoni_trasparenti_anno_2014[[#This Row],[totale_730_dichiarante]]&lt;&gt;0,LOG10(openpolis_patrimoni_trasparenti_anno_2014[[#This Row],[totale_730_dichiarante]]), 0)</f>
        <v>4.7832030003776396</v>
      </c>
    </row>
    <row r="431" spans="1:21" x14ac:dyDescent="0.3">
      <c r="A431">
        <v>125686</v>
      </c>
      <c r="B431" s="1" t="s">
        <v>355</v>
      </c>
      <c r="C431" s="1" t="s">
        <v>790</v>
      </c>
      <c r="D431" s="2">
        <v>21365</v>
      </c>
      <c r="E431" s="1" t="s">
        <v>136</v>
      </c>
      <c r="F431" s="1" t="s">
        <v>30</v>
      </c>
      <c r="G431" s="1" t="s">
        <v>36</v>
      </c>
      <c r="H431" s="1" t="s">
        <v>54</v>
      </c>
      <c r="I431" s="1" t="s">
        <v>159</v>
      </c>
      <c r="J431">
        <v>98471</v>
      </c>
      <c r="K431">
        <v>0</v>
      </c>
      <c r="L431">
        <v>0</v>
      </c>
      <c r="M431">
        <v>0</v>
      </c>
      <c r="N431">
        <v>3</v>
      </c>
      <c r="O431" s="1" t="s">
        <v>32</v>
      </c>
      <c r="P431">
        <v>1</v>
      </c>
      <c r="Q431">
        <v>0</v>
      </c>
      <c r="R431">
        <v>1</v>
      </c>
      <c r="S431">
        <v>0</v>
      </c>
      <c r="T431">
        <v>0</v>
      </c>
      <c r="U431">
        <f>IF(openpolis_patrimoni_trasparenti_anno_2014[[#This Row],[totale_730_dichiarante]]&lt;&gt;0,LOG10(openpolis_patrimoni_trasparenti_anno_2014[[#This Row],[totale_730_dichiarante]]), 0)</f>
        <v>4.9933083483213911</v>
      </c>
    </row>
    <row r="432" spans="1:21" x14ac:dyDescent="0.3">
      <c r="A432">
        <v>686503</v>
      </c>
      <c r="B432" s="1" t="s">
        <v>762</v>
      </c>
      <c r="C432" s="1" t="s">
        <v>791</v>
      </c>
      <c r="D432" s="2">
        <v>26378</v>
      </c>
      <c r="E432" s="1" t="s">
        <v>49</v>
      </c>
      <c r="F432" s="1" t="s">
        <v>30</v>
      </c>
      <c r="G432" s="1" t="s">
        <v>126</v>
      </c>
      <c r="H432" s="1" t="s">
        <v>127</v>
      </c>
      <c r="I432" s="1" t="s">
        <v>89</v>
      </c>
      <c r="J432">
        <v>78230</v>
      </c>
      <c r="K432">
        <v>0</v>
      </c>
      <c r="L432">
        <v>0</v>
      </c>
      <c r="M432">
        <v>0</v>
      </c>
      <c r="N432">
        <v>3</v>
      </c>
      <c r="O432" s="1" t="s">
        <v>32</v>
      </c>
      <c r="P432">
        <v>0</v>
      </c>
      <c r="Q432">
        <v>0</v>
      </c>
      <c r="R432">
        <v>1</v>
      </c>
      <c r="S432">
        <v>0</v>
      </c>
      <c r="T432">
        <v>0</v>
      </c>
      <c r="U432">
        <f>IF(openpolis_patrimoni_trasparenti_anno_2014[[#This Row],[totale_730_dichiarante]]&lt;&gt;0,LOG10(openpolis_patrimoni_trasparenti_anno_2014[[#This Row],[totale_730_dichiarante]]), 0)</f>
        <v>4.8933733302460247</v>
      </c>
    </row>
    <row r="433" spans="1:21" x14ac:dyDescent="0.3">
      <c r="A433">
        <v>686218</v>
      </c>
      <c r="B433" s="1" t="s">
        <v>792</v>
      </c>
      <c r="C433" s="1" t="s">
        <v>793</v>
      </c>
      <c r="D433" s="2">
        <v>30952</v>
      </c>
      <c r="E433" s="1" t="s">
        <v>114</v>
      </c>
      <c r="F433" s="1" t="s">
        <v>30</v>
      </c>
      <c r="G433" s="1" t="s">
        <v>24</v>
      </c>
      <c r="H433" s="1" t="s">
        <v>24</v>
      </c>
      <c r="I433" s="1" t="s">
        <v>111</v>
      </c>
      <c r="J433">
        <v>78229.8</v>
      </c>
      <c r="K433">
        <v>0</v>
      </c>
      <c r="L433">
        <v>0</v>
      </c>
      <c r="M433">
        <v>0</v>
      </c>
      <c r="N433">
        <v>3</v>
      </c>
      <c r="O433" s="1" t="s">
        <v>90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f>IF(openpolis_patrimoni_trasparenti_anno_2014[[#This Row],[totale_730_dichiarante]]&lt;&gt;0,LOG10(openpolis_patrimoni_trasparenti_anno_2014[[#This Row],[totale_730_dichiarante]]), 0)</f>
        <v>4.893372219942977</v>
      </c>
    </row>
    <row r="434" spans="1:21" x14ac:dyDescent="0.3">
      <c r="A434">
        <v>686509</v>
      </c>
      <c r="B434" s="1" t="s">
        <v>160</v>
      </c>
      <c r="C434" s="1" t="s">
        <v>794</v>
      </c>
      <c r="D434" s="2">
        <v>27344</v>
      </c>
      <c r="E434" s="1" t="s">
        <v>532</v>
      </c>
      <c r="F434" s="1" t="s">
        <v>30</v>
      </c>
      <c r="G434" s="1" t="s">
        <v>102</v>
      </c>
      <c r="H434" s="1" t="s">
        <v>68</v>
      </c>
      <c r="I434" s="1" t="s">
        <v>89</v>
      </c>
      <c r="J434">
        <v>78230</v>
      </c>
      <c r="K434">
        <v>0</v>
      </c>
      <c r="L434">
        <v>0</v>
      </c>
      <c r="M434">
        <v>0</v>
      </c>
      <c r="N434">
        <v>3</v>
      </c>
      <c r="O434" s="1" t="s">
        <v>32</v>
      </c>
      <c r="P434">
        <v>0</v>
      </c>
      <c r="Q434">
        <v>0</v>
      </c>
      <c r="R434">
        <v>1</v>
      </c>
      <c r="S434">
        <v>0</v>
      </c>
      <c r="T434">
        <v>0</v>
      </c>
      <c r="U434">
        <f>IF(openpolis_patrimoni_trasparenti_anno_2014[[#This Row],[totale_730_dichiarante]]&lt;&gt;0,LOG10(openpolis_patrimoni_trasparenti_anno_2014[[#This Row],[totale_730_dichiarante]]), 0)</f>
        <v>4.8933733302460247</v>
      </c>
    </row>
    <row r="435" spans="1:21" x14ac:dyDescent="0.3">
      <c r="A435">
        <v>648</v>
      </c>
      <c r="B435" s="1" t="s">
        <v>65</v>
      </c>
      <c r="C435" s="1" t="s">
        <v>793</v>
      </c>
      <c r="D435" s="2">
        <v>26732</v>
      </c>
      <c r="E435" s="1" t="s">
        <v>35</v>
      </c>
      <c r="F435" s="1" t="s">
        <v>30</v>
      </c>
      <c r="G435" s="1" t="s">
        <v>53</v>
      </c>
      <c r="H435" s="1" t="s">
        <v>53</v>
      </c>
      <c r="I435" s="1" t="s">
        <v>111</v>
      </c>
      <c r="J435">
        <v>130838</v>
      </c>
      <c r="K435">
        <v>0</v>
      </c>
      <c r="L435">
        <v>0</v>
      </c>
      <c r="M435">
        <v>0</v>
      </c>
      <c r="N435">
        <v>3</v>
      </c>
      <c r="O435" s="1" t="s">
        <v>32</v>
      </c>
      <c r="P435">
        <v>3</v>
      </c>
      <c r="Q435">
        <v>0</v>
      </c>
      <c r="R435">
        <v>2</v>
      </c>
      <c r="S435">
        <v>3</v>
      </c>
      <c r="T435">
        <v>1</v>
      </c>
      <c r="U435">
        <f>IF(openpolis_patrimoni_trasparenti_anno_2014[[#This Row],[totale_730_dichiarante]]&lt;&gt;0,LOG10(openpolis_patrimoni_trasparenti_anno_2014[[#This Row],[totale_730_dichiarante]]), 0)</f>
        <v>5.1167338968439378</v>
      </c>
    </row>
    <row r="436" spans="1:21" x14ac:dyDescent="0.3">
      <c r="A436">
        <v>647</v>
      </c>
      <c r="B436" s="1" t="s">
        <v>436</v>
      </c>
      <c r="C436" s="1" t="s">
        <v>795</v>
      </c>
      <c r="D436" s="2">
        <v>24396</v>
      </c>
      <c r="E436" s="1" t="s">
        <v>156</v>
      </c>
      <c r="F436" s="1" t="s">
        <v>30</v>
      </c>
      <c r="G436" s="1" t="s">
        <v>36</v>
      </c>
      <c r="H436" s="1" t="s">
        <v>54</v>
      </c>
      <c r="I436" s="1" t="s">
        <v>89</v>
      </c>
      <c r="J436">
        <v>98471</v>
      </c>
      <c r="K436">
        <v>0</v>
      </c>
      <c r="L436">
        <v>0</v>
      </c>
      <c r="M436">
        <v>0</v>
      </c>
      <c r="N436">
        <v>3</v>
      </c>
      <c r="O436" s="1" t="s">
        <v>90</v>
      </c>
      <c r="P436">
        <v>0</v>
      </c>
      <c r="Q436">
        <v>0</v>
      </c>
      <c r="R436">
        <v>2</v>
      </c>
      <c r="S436">
        <v>0</v>
      </c>
      <c r="T436">
        <v>0</v>
      </c>
      <c r="U436">
        <f>IF(openpolis_patrimoni_trasparenti_anno_2014[[#This Row],[totale_730_dichiarante]]&lt;&gt;0,LOG10(openpolis_patrimoni_trasparenti_anno_2014[[#This Row],[totale_730_dichiarante]]), 0)</f>
        <v>4.9933083483213911</v>
      </c>
    </row>
    <row r="437" spans="1:21" x14ac:dyDescent="0.3">
      <c r="A437">
        <v>1680</v>
      </c>
      <c r="B437" s="1" t="s">
        <v>207</v>
      </c>
      <c r="C437" s="1" t="s">
        <v>796</v>
      </c>
      <c r="D437" s="2">
        <v>22544</v>
      </c>
      <c r="E437" s="1" t="s">
        <v>35</v>
      </c>
      <c r="F437" s="1" t="s">
        <v>30</v>
      </c>
      <c r="G437" s="1" t="s">
        <v>36</v>
      </c>
      <c r="H437" s="1" t="s">
        <v>168</v>
      </c>
      <c r="I437" s="1" t="s">
        <v>76</v>
      </c>
      <c r="J437">
        <v>188046</v>
      </c>
      <c r="K437">
        <v>0</v>
      </c>
      <c r="L437">
        <v>0</v>
      </c>
      <c r="M437">
        <v>0</v>
      </c>
      <c r="N437">
        <v>3</v>
      </c>
      <c r="O437" s="1" t="s">
        <v>32</v>
      </c>
      <c r="P437">
        <v>7</v>
      </c>
      <c r="Q437">
        <v>0</v>
      </c>
      <c r="R437">
        <v>4</v>
      </c>
      <c r="S437">
        <v>4</v>
      </c>
      <c r="T437">
        <v>4</v>
      </c>
      <c r="U437">
        <f>IF(openpolis_patrimoni_trasparenti_anno_2014[[#This Row],[totale_730_dichiarante]]&lt;&gt;0,LOG10(openpolis_patrimoni_trasparenti_anno_2014[[#This Row],[totale_730_dichiarante]]), 0)</f>
        <v>5.2742640998089172</v>
      </c>
    </row>
    <row r="438" spans="1:21" x14ac:dyDescent="0.3">
      <c r="A438">
        <v>332874</v>
      </c>
      <c r="B438" s="1" t="s">
        <v>317</v>
      </c>
      <c r="C438" s="1" t="s">
        <v>797</v>
      </c>
      <c r="D438" s="2">
        <v>17742</v>
      </c>
      <c r="E438" s="1" t="s">
        <v>49</v>
      </c>
      <c r="F438" s="1" t="s">
        <v>30</v>
      </c>
      <c r="G438" s="1" t="s">
        <v>24</v>
      </c>
      <c r="H438" s="1" t="s">
        <v>24</v>
      </c>
      <c r="I438" s="1" t="s">
        <v>264</v>
      </c>
      <c r="J438">
        <v>158909</v>
      </c>
      <c r="K438">
        <v>0</v>
      </c>
      <c r="L438">
        <v>0</v>
      </c>
      <c r="M438">
        <v>0</v>
      </c>
      <c r="N438">
        <v>3</v>
      </c>
      <c r="O438" s="1" t="s">
        <v>32</v>
      </c>
      <c r="P438">
        <v>6</v>
      </c>
      <c r="Q438">
        <v>2</v>
      </c>
      <c r="R438">
        <v>2</v>
      </c>
      <c r="S438">
        <v>0</v>
      </c>
      <c r="T438">
        <v>0</v>
      </c>
      <c r="U438">
        <f>IF(openpolis_patrimoni_trasparenti_anno_2014[[#This Row],[totale_730_dichiarante]]&lt;&gt;0,LOG10(openpolis_patrimoni_trasparenti_anno_2014[[#This Row],[totale_730_dichiarante]]), 0)</f>
        <v>5.2011484946878674</v>
      </c>
    </row>
    <row r="439" spans="1:21" x14ac:dyDescent="0.3">
      <c r="A439">
        <v>686554</v>
      </c>
      <c r="B439" s="1" t="s">
        <v>798</v>
      </c>
      <c r="C439" s="1" t="s">
        <v>799</v>
      </c>
      <c r="D439" s="2">
        <v>16989</v>
      </c>
      <c r="E439" s="1" t="s">
        <v>63</v>
      </c>
      <c r="F439" s="1" t="s">
        <v>30</v>
      </c>
      <c r="G439" s="1" t="s">
        <v>24</v>
      </c>
      <c r="H439" s="1" t="s">
        <v>24</v>
      </c>
      <c r="I439" s="1" t="s">
        <v>38</v>
      </c>
      <c r="J439">
        <v>177688</v>
      </c>
      <c r="K439">
        <v>0</v>
      </c>
      <c r="L439">
        <v>0</v>
      </c>
      <c r="M439">
        <v>0</v>
      </c>
      <c r="N439">
        <v>3</v>
      </c>
      <c r="O439" s="1" t="s">
        <v>32</v>
      </c>
      <c r="P439">
        <v>4</v>
      </c>
      <c r="Q439">
        <v>0</v>
      </c>
      <c r="R439">
        <v>0</v>
      </c>
      <c r="S439">
        <v>0</v>
      </c>
      <c r="T439">
        <v>0</v>
      </c>
      <c r="U439">
        <f>IF(openpolis_patrimoni_trasparenti_anno_2014[[#This Row],[totale_730_dichiarante]]&lt;&gt;0,LOG10(openpolis_patrimoni_trasparenti_anno_2014[[#This Row],[totale_730_dichiarante]]), 0)</f>
        <v>5.2496580991066129</v>
      </c>
    </row>
    <row r="440" spans="1:21" x14ac:dyDescent="0.3">
      <c r="A440">
        <v>389343</v>
      </c>
      <c r="B440" s="1" t="s">
        <v>800</v>
      </c>
      <c r="C440" s="1" t="s">
        <v>801</v>
      </c>
      <c r="D440" s="2">
        <v>20191</v>
      </c>
      <c r="E440" s="1" t="s">
        <v>29</v>
      </c>
      <c r="F440" s="1" t="s">
        <v>30</v>
      </c>
      <c r="G440" s="1" t="s">
        <v>24</v>
      </c>
      <c r="H440" s="1" t="s">
        <v>24</v>
      </c>
      <c r="I440" s="1" t="s">
        <v>169</v>
      </c>
      <c r="J440">
        <v>102357</v>
      </c>
      <c r="K440">
        <v>0</v>
      </c>
      <c r="L440">
        <v>0</v>
      </c>
      <c r="M440">
        <v>0</v>
      </c>
      <c r="N440">
        <v>3</v>
      </c>
      <c r="O440" s="1" t="s">
        <v>32</v>
      </c>
      <c r="P440">
        <v>2</v>
      </c>
      <c r="Q440">
        <v>0</v>
      </c>
      <c r="R440">
        <v>0</v>
      </c>
      <c r="S440">
        <v>0</v>
      </c>
      <c r="T440">
        <v>0</v>
      </c>
      <c r="U440">
        <f>IF(openpolis_patrimoni_trasparenti_anno_2014[[#This Row],[totale_730_dichiarante]]&lt;&gt;0,LOG10(openpolis_patrimoni_trasparenti_anno_2014[[#This Row],[totale_730_dichiarante]]), 0)</f>
        <v>5.0101175485854217</v>
      </c>
    </row>
    <row r="441" spans="1:21" x14ac:dyDescent="0.3">
      <c r="A441">
        <v>332772</v>
      </c>
      <c r="B441" s="1" t="s">
        <v>453</v>
      </c>
      <c r="C441" s="1" t="s">
        <v>802</v>
      </c>
      <c r="D441" s="2">
        <v>20642</v>
      </c>
      <c r="E441" s="1" t="s">
        <v>136</v>
      </c>
      <c r="F441" s="1" t="s">
        <v>30</v>
      </c>
      <c r="G441" s="1" t="s">
        <v>36</v>
      </c>
      <c r="H441" s="1" t="s">
        <v>37</v>
      </c>
      <c r="I441" s="1" t="s">
        <v>132</v>
      </c>
      <c r="J441">
        <v>96101</v>
      </c>
      <c r="K441">
        <v>0</v>
      </c>
      <c r="L441">
        <v>0</v>
      </c>
      <c r="M441">
        <v>0</v>
      </c>
      <c r="N441">
        <v>3</v>
      </c>
      <c r="O441" s="1" t="s">
        <v>32</v>
      </c>
      <c r="P441">
        <v>3</v>
      </c>
      <c r="Q441">
        <v>1</v>
      </c>
      <c r="R441">
        <v>2</v>
      </c>
      <c r="S441">
        <v>0</v>
      </c>
      <c r="T441">
        <v>0</v>
      </c>
      <c r="U441">
        <f>IF(openpolis_patrimoni_trasparenti_anno_2014[[#This Row],[totale_730_dichiarante]]&lt;&gt;0,LOG10(openpolis_patrimoni_trasparenti_anno_2014[[#This Row],[totale_730_dichiarante]]), 0)</f>
        <v>4.9827279068383925</v>
      </c>
    </row>
    <row r="442" spans="1:21" x14ac:dyDescent="0.3">
      <c r="A442">
        <v>686389</v>
      </c>
      <c r="B442" s="1" t="s">
        <v>339</v>
      </c>
      <c r="C442" s="1" t="s">
        <v>803</v>
      </c>
      <c r="D442" s="2">
        <v>28620</v>
      </c>
      <c r="E442" s="1" t="s">
        <v>49</v>
      </c>
      <c r="F442" s="1" t="s">
        <v>30</v>
      </c>
      <c r="G442" s="1" t="s">
        <v>102</v>
      </c>
      <c r="H442" s="1" t="s">
        <v>102</v>
      </c>
      <c r="I442" s="1" t="s">
        <v>72</v>
      </c>
      <c r="J442">
        <v>78229.8</v>
      </c>
      <c r="K442">
        <v>0</v>
      </c>
      <c r="L442">
        <v>0</v>
      </c>
      <c r="M442">
        <v>0</v>
      </c>
      <c r="N442">
        <v>3</v>
      </c>
      <c r="O442" s="1" t="s">
        <v>90</v>
      </c>
      <c r="P442">
        <v>0</v>
      </c>
      <c r="Q442">
        <v>0</v>
      </c>
      <c r="R442">
        <v>2</v>
      </c>
      <c r="S442">
        <v>0</v>
      </c>
      <c r="T442">
        <v>0</v>
      </c>
      <c r="U442">
        <f>IF(openpolis_patrimoni_trasparenti_anno_2014[[#This Row],[totale_730_dichiarante]]&lt;&gt;0,LOG10(openpolis_patrimoni_trasparenti_anno_2014[[#This Row],[totale_730_dichiarante]]), 0)</f>
        <v>4.893372219942977</v>
      </c>
    </row>
    <row r="443" spans="1:21" x14ac:dyDescent="0.3">
      <c r="A443">
        <v>332771</v>
      </c>
      <c r="B443" s="1" t="s">
        <v>804</v>
      </c>
      <c r="C443" s="1" t="s">
        <v>805</v>
      </c>
      <c r="D443" s="2">
        <v>22243</v>
      </c>
      <c r="E443" s="1" t="s">
        <v>29</v>
      </c>
      <c r="F443" s="1" t="s">
        <v>30</v>
      </c>
      <c r="G443" s="1" t="s">
        <v>24</v>
      </c>
      <c r="H443" s="1" t="s">
        <v>24</v>
      </c>
      <c r="I443" s="1" t="s">
        <v>89</v>
      </c>
      <c r="J443">
        <v>115810</v>
      </c>
      <c r="K443">
        <v>0</v>
      </c>
      <c r="L443">
        <v>0</v>
      </c>
      <c r="M443">
        <v>0</v>
      </c>
      <c r="N443">
        <v>2</v>
      </c>
      <c r="O443" s="1" t="s">
        <v>43</v>
      </c>
      <c r="P443">
        <v>4</v>
      </c>
      <c r="Q443">
        <v>0</v>
      </c>
      <c r="R443">
        <v>1</v>
      </c>
      <c r="S443">
        <v>0</v>
      </c>
      <c r="T443">
        <v>0</v>
      </c>
      <c r="U443">
        <f>IF(openpolis_patrimoni_trasparenti_anno_2014[[#This Row],[totale_730_dichiarante]]&lt;&gt;0,LOG10(openpolis_patrimoni_trasparenti_anno_2014[[#This Row],[totale_730_dichiarante]]), 0)</f>
        <v>5.0637460616134433</v>
      </c>
    </row>
    <row r="444" spans="1:21" x14ac:dyDescent="0.3">
      <c r="A444">
        <v>76353</v>
      </c>
      <c r="B444" s="1" t="s">
        <v>806</v>
      </c>
      <c r="C444" s="1" t="s">
        <v>807</v>
      </c>
      <c r="D444" s="2">
        <v>26013</v>
      </c>
      <c r="E444" s="1" t="s">
        <v>22</v>
      </c>
      <c r="F444" s="1" t="s">
        <v>30</v>
      </c>
      <c r="G444" s="1" t="s">
        <v>24</v>
      </c>
      <c r="H444" s="1" t="s">
        <v>24</v>
      </c>
      <c r="I444" s="1" t="s">
        <v>64</v>
      </c>
      <c r="J444">
        <v>90333</v>
      </c>
      <c r="K444">
        <v>0</v>
      </c>
      <c r="L444">
        <v>0</v>
      </c>
      <c r="M444">
        <v>0</v>
      </c>
      <c r="N444">
        <v>3</v>
      </c>
      <c r="O444" s="1" t="s">
        <v>32</v>
      </c>
      <c r="P444">
        <v>1</v>
      </c>
      <c r="Q444">
        <v>0</v>
      </c>
      <c r="R444">
        <v>1</v>
      </c>
      <c r="S444">
        <v>0</v>
      </c>
      <c r="T444">
        <v>0</v>
      </c>
      <c r="U444">
        <f>IF(openpolis_patrimoni_trasparenti_anno_2014[[#This Row],[totale_730_dichiarante]]&lt;&gt;0,LOG10(openpolis_patrimoni_trasparenti_anno_2014[[#This Row],[totale_730_dichiarante]]), 0)</f>
        <v>4.955846433589123</v>
      </c>
    </row>
    <row r="445" spans="1:21" x14ac:dyDescent="0.3">
      <c r="A445">
        <v>687455</v>
      </c>
      <c r="B445" s="1" t="s">
        <v>808</v>
      </c>
      <c r="C445" s="1" t="s">
        <v>809</v>
      </c>
      <c r="D445" s="2">
        <v>24422</v>
      </c>
      <c r="E445" s="1" t="s">
        <v>140</v>
      </c>
      <c r="F445" s="1" t="s">
        <v>30</v>
      </c>
      <c r="G445" s="1" t="s">
        <v>126</v>
      </c>
      <c r="H445" s="1" t="s">
        <v>127</v>
      </c>
      <c r="I445" s="1" t="s">
        <v>191</v>
      </c>
      <c r="J445">
        <v>77405</v>
      </c>
      <c r="K445">
        <v>0</v>
      </c>
      <c r="L445">
        <v>0</v>
      </c>
      <c r="M445">
        <v>0</v>
      </c>
      <c r="N445">
        <v>3</v>
      </c>
      <c r="O445" s="1" t="s">
        <v>32</v>
      </c>
      <c r="P445">
        <v>3</v>
      </c>
      <c r="Q445">
        <v>1</v>
      </c>
      <c r="R445">
        <v>3</v>
      </c>
      <c r="S445">
        <v>0</v>
      </c>
      <c r="T445">
        <v>0</v>
      </c>
      <c r="U445">
        <f>IF(openpolis_patrimoni_trasparenti_anno_2014[[#This Row],[totale_730_dichiarante]]&lt;&gt;0,LOG10(openpolis_patrimoni_trasparenti_anno_2014[[#This Row],[totale_730_dichiarante]]), 0)</f>
        <v>4.8887690149758454</v>
      </c>
    </row>
    <row r="446" spans="1:21" x14ac:dyDescent="0.3">
      <c r="A446">
        <v>5102</v>
      </c>
      <c r="B446" s="1" t="s">
        <v>762</v>
      </c>
      <c r="C446" s="1" t="s">
        <v>810</v>
      </c>
      <c r="D446" s="2">
        <v>20945</v>
      </c>
      <c r="E446" s="1" t="s">
        <v>41</v>
      </c>
      <c r="F446" s="1" t="s">
        <v>30</v>
      </c>
      <c r="G446" s="1" t="s">
        <v>24</v>
      </c>
      <c r="H446" s="1" t="s">
        <v>24</v>
      </c>
      <c r="I446" s="1" t="s">
        <v>115</v>
      </c>
      <c r="J446">
        <v>101987</v>
      </c>
      <c r="K446">
        <v>0</v>
      </c>
      <c r="L446">
        <v>0</v>
      </c>
      <c r="M446">
        <v>0</v>
      </c>
      <c r="N446">
        <v>3</v>
      </c>
      <c r="O446" s="1" t="s">
        <v>32</v>
      </c>
      <c r="P446">
        <v>5</v>
      </c>
      <c r="Q446">
        <v>0</v>
      </c>
      <c r="R446">
        <v>1</v>
      </c>
      <c r="S446">
        <v>0</v>
      </c>
      <c r="T446">
        <v>0</v>
      </c>
      <c r="U446">
        <f>IF(openpolis_patrimoni_trasparenti_anno_2014[[#This Row],[totale_730_dichiarante]]&lt;&gt;0,LOG10(openpolis_patrimoni_trasparenti_anno_2014[[#This Row],[totale_730_dichiarante]]), 0)</f>
        <v>5.0085448169768343</v>
      </c>
    </row>
    <row r="447" spans="1:21" x14ac:dyDescent="0.3">
      <c r="A447">
        <v>687365</v>
      </c>
      <c r="B447" s="1" t="s">
        <v>811</v>
      </c>
      <c r="C447" s="1" t="s">
        <v>812</v>
      </c>
      <c r="D447" s="2">
        <v>19649</v>
      </c>
      <c r="E447" s="1" t="s">
        <v>29</v>
      </c>
      <c r="F447" s="1" t="s">
        <v>30</v>
      </c>
      <c r="G447" s="1" t="s">
        <v>24</v>
      </c>
      <c r="H447" s="1" t="s">
        <v>24</v>
      </c>
      <c r="I447" s="1" t="s">
        <v>200</v>
      </c>
      <c r="J447">
        <v>92176</v>
      </c>
      <c r="K447">
        <v>0</v>
      </c>
      <c r="L447">
        <v>0</v>
      </c>
      <c r="M447">
        <v>0</v>
      </c>
      <c r="N447">
        <v>3</v>
      </c>
      <c r="O447" s="1" t="s">
        <v>32</v>
      </c>
      <c r="P447">
        <v>3</v>
      </c>
      <c r="Q447">
        <v>0</v>
      </c>
      <c r="R447">
        <v>2</v>
      </c>
      <c r="S447">
        <v>0</v>
      </c>
      <c r="T447">
        <v>0</v>
      </c>
      <c r="U447">
        <f>IF(openpolis_patrimoni_trasparenti_anno_2014[[#This Row],[totale_730_dichiarante]]&lt;&gt;0,LOG10(openpolis_patrimoni_trasparenti_anno_2014[[#This Row],[totale_730_dichiarante]]), 0)</f>
        <v>4.9646178578824518</v>
      </c>
    </row>
    <row r="448" spans="1:21" x14ac:dyDescent="0.3">
      <c r="A448">
        <v>8312</v>
      </c>
      <c r="B448" s="1" t="s">
        <v>813</v>
      </c>
      <c r="C448" s="1" t="s">
        <v>814</v>
      </c>
      <c r="D448" s="2">
        <v>20356</v>
      </c>
      <c r="E448" s="1" t="s">
        <v>136</v>
      </c>
      <c r="F448" s="1" t="s">
        <v>30</v>
      </c>
      <c r="G448" s="1" t="s">
        <v>24</v>
      </c>
      <c r="H448" s="1" t="s">
        <v>54</v>
      </c>
      <c r="I448" s="1" t="s">
        <v>178</v>
      </c>
      <c r="J448">
        <v>86552</v>
      </c>
      <c r="K448">
        <v>0</v>
      </c>
      <c r="L448">
        <v>0</v>
      </c>
      <c r="M448">
        <v>0</v>
      </c>
      <c r="N448">
        <v>2</v>
      </c>
      <c r="O448" s="1" t="s">
        <v>43</v>
      </c>
      <c r="P448">
        <v>8</v>
      </c>
      <c r="Q448">
        <v>1</v>
      </c>
      <c r="R448">
        <v>1</v>
      </c>
      <c r="S448">
        <v>0</v>
      </c>
      <c r="T448">
        <v>1</v>
      </c>
      <c r="U448">
        <f>IF(openpolis_patrimoni_trasparenti_anno_2014[[#This Row],[totale_730_dichiarante]]&lt;&gt;0,LOG10(openpolis_patrimoni_trasparenti_anno_2014[[#This Row],[totale_730_dichiarante]]), 0)</f>
        <v>4.9372771077853965</v>
      </c>
    </row>
    <row r="449" spans="1:21" x14ac:dyDescent="0.3">
      <c r="A449">
        <v>244605</v>
      </c>
      <c r="B449" s="1" t="s">
        <v>267</v>
      </c>
      <c r="C449" s="1" t="s">
        <v>815</v>
      </c>
      <c r="D449" s="2">
        <v>26206</v>
      </c>
      <c r="E449" s="1" t="s">
        <v>249</v>
      </c>
      <c r="F449" s="1" t="s">
        <v>30</v>
      </c>
      <c r="G449" s="1" t="s">
        <v>24</v>
      </c>
      <c r="H449" s="1" t="s">
        <v>54</v>
      </c>
      <c r="I449" s="1" t="s">
        <v>31</v>
      </c>
      <c r="J449">
        <v>99020</v>
      </c>
      <c r="K449">
        <v>0</v>
      </c>
      <c r="L449">
        <v>0</v>
      </c>
      <c r="M449">
        <v>0</v>
      </c>
      <c r="N449">
        <v>3</v>
      </c>
      <c r="O449" s="1" t="s">
        <v>32</v>
      </c>
      <c r="P449">
        <v>3</v>
      </c>
      <c r="Q449">
        <v>0</v>
      </c>
      <c r="R449">
        <v>2</v>
      </c>
      <c r="S449">
        <v>1</v>
      </c>
      <c r="T449">
        <v>1</v>
      </c>
      <c r="U449">
        <f>IF(openpolis_patrimoni_trasparenti_anno_2014[[#This Row],[totale_730_dichiarante]]&lt;&gt;0,LOG10(openpolis_patrimoni_trasparenti_anno_2014[[#This Row],[totale_730_dichiarante]]), 0)</f>
        <v>4.9957229219954655</v>
      </c>
    </row>
    <row r="450" spans="1:21" x14ac:dyDescent="0.3">
      <c r="A450">
        <v>242166</v>
      </c>
      <c r="B450" s="1" t="s">
        <v>326</v>
      </c>
      <c r="C450" s="1" t="s">
        <v>816</v>
      </c>
      <c r="D450" s="2">
        <v>26954</v>
      </c>
      <c r="E450" s="1" t="s">
        <v>49</v>
      </c>
      <c r="F450" s="1" t="s">
        <v>30</v>
      </c>
      <c r="G450" s="1" t="s">
        <v>24</v>
      </c>
      <c r="H450" s="1" t="s">
        <v>24</v>
      </c>
      <c r="I450" s="1" t="s">
        <v>46</v>
      </c>
      <c r="J450">
        <v>84933</v>
      </c>
      <c r="K450">
        <v>0</v>
      </c>
      <c r="L450">
        <v>0</v>
      </c>
      <c r="M450">
        <v>0</v>
      </c>
      <c r="N450">
        <v>2</v>
      </c>
      <c r="O450" s="1" t="s">
        <v>43</v>
      </c>
      <c r="P450">
        <v>2</v>
      </c>
      <c r="Q450">
        <v>0</v>
      </c>
      <c r="R450">
        <v>1</v>
      </c>
      <c r="S450">
        <v>0</v>
      </c>
      <c r="T450">
        <v>0</v>
      </c>
      <c r="U450">
        <f>IF(openpolis_patrimoni_trasparenti_anno_2014[[#This Row],[totale_730_dichiarante]]&lt;&gt;0,LOG10(openpolis_patrimoni_trasparenti_anno_2014[[#This Row],[totale_730_dichiarante]]), 0)</f>
        <v>4.9290764644878653</v>
      </c>
    </row>
    <row r="451" spans="1:21" x14ac:dyDescent="0.3">
      <c r="A451">
        <v>332768</v>
      </c>
      <c r="B451" s="1" t="s">
        <v>415</v>
      </c>
      <c r="C451" s="1" t="s">
        <v>817</v>
      </c>
      <c r="D451" s="2">
        <v>24893</v>
      </c>
      <c r="E451" s="1" t="s">
        <v>156</v>
      </c>
      <c r="F451" s="1" t="s">
        <v>30</v>
      </c>
      <c r="G451" s="1" t="s">
        <v>36</v>
      </c>
      <c r="H451" s="1" t="s">
        <v>54</v>
      </c>
      <c r="I451" s="1" t="s">
        <v>46</v>
      </c>
      <c r="J451">
        <v>105071</v>
      </c>
      <c r="K451">
        <v>0</v>
      </c>
      <c r="L451">
        <v>0</v>
      </c>
      <c r="M451">
        <v>0</v>
      </c>
      <c r="N451">
        <v>3</v>
      </c>
      <c r="O451" s="1" t="s">
        <v>32</v>
      </c>
      <c r="P451">
        <v>2</v>
      </c>
      <c r="Q451">
        <v>1</v>
      </c>
      <c r="R451">
        <v>2</v>
      </c>
      <c r="S451">
        <v>3</v>
      </c>
      <c r="T451">
        <v>0</v>
      </c>
      <c r="U451">
        <f>IF(openpolis_patrimoni_trasparenti_anno_2014[[#This Row],[totale_730_dichiarante]]&lt;&gt;0,LOG10(openpolis_patrimoni_trasparenti_anno_2014[[#This Row],[totale_730_dichiarante]]), 0)</f>
        <v>5.0214828656201922</v>
      </c>
    </row>
    <row r="452" spans="1:21" x14ac:dyDescent="0.3">
      <c r="A452">
        <v>686114</v>
      </c>
      <c r="B452" s="1" t="s">
        <v>44</v>
      </c>
      <c r="C452" s="1" t="s">
        <v>818</v>
      </c>
      <c r="D452" s="2">
        <v>30590</v>
      </c>
      <c r="E452" s="1" t="s">
        <v>532</v>
      </c>
      <c r="F452" s="1" t="s">
        <v>30</v>
      </c>
      <c r="G452" s="1" t="s">
        <v>102</v>
      </c>
      <c r="H452" s="1" t="s">
        <v>102</v>
      </c>
      <c r="I452" s="1" t="s">
        <v>42</v>
      </c>
      <c r="J452">
        <v>81816</v>
      </c>
      <c r="K452">
        <v>0</v>
      </c>
      <c r="L452">
        <v>0</v>
      </c>
      <c r="M452">
        <v>0</v>
      </c>
      <c r="N452">
        <v>3</v>
      </c>
      <c r="O452" s="1" t="s">
        <v>32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f>IF(openpolis_patrimoni_trasparenti_anno_2014[[#This Row],[totale_730_dichiarante]]&lt;&gt;0,LOG10(openpolis_patrimoni_trasparenti_anno_2014[[#This Row],[totale_730_dichiarante]]), 0)</f>
        <v>4.9128382429404969</v>
      </c>
    </row>
    <row r="453" spans="1:21" x14ac:dyDescent="0.3">
      <c r="A453">
        <v>333220</v>
      </c>
      <c r="B453" s="1" t="s">
        <v>819</v>
      </c>
      <c r="C453" s="1" t="s">
        <v>820</v>
      </c>
      <c r="D453" s="2">
        <v>20056</v>
      </c>
      <c r="E453" s="1" t="s">
        <v>63</v>
      </c>
      <c r="F453" s="1" t="s">
        <v>30</v>
      </c>
      <c r="G453" s="1" t="s">
        <v>36</v>
      </c>
      <c r="H453" s="1" t="s">
        <v>37</v>
      </c>
      <c r="I453" s="1" t="s">
        <v>111</v>
      </c>
      <c r="J453">
        <v>99515</v>
      </c>
      <c r="K453">
        <v>0</v>
      </c>
      <c r="L453">
        <v>0</v>
      </c>
      <c r="M453">
        <v>0</v>
      </c>
      <c r="N453">
        <v>3</v>
      </c>
      <c r="O453" s="1" t="s">
        <v>32</v>
      </c>
      <c r="P453">
        <v>2</v>
      </c>
      <c r="Q453">
        <v>0</v>
      </c>
      <c r="R453">
        <v>0</v>
      </c>
      <c r="S453">
        <v>0</v>
      </c>
      <c r="T453">
        <v>0</v>
      </c>
      <c r="U453">
        <f>IF(openpolis_patrimoni_trasparenti_anno_2014[[#This Row],[totale_730_dichiarante]]&lt;&gt;0,LOG10(openpolis_patrimoni_trasparenti_anno_2014[[#This Row],[totale_730_dichiarante]]), 0)</f>
        <v>4.997888547341117</v>
      </c>
    </row>
    <row r="454" spans="1:21" x14ac:dyDescent="0.3">
      <c r="A454">
        <v>614</v>
      </c>
      <c r="B454" s="1" t="s">
        <v>217</v>
      </c>
      <c r="C454" s="1" t="s">
        <v>821</v>
      </c>
      <c r="D454" s="2">
        <v>22326</v>
      </c>
      <c r="E454" s="1" t="s">
        <v>35</v>
      </c>
      <c r="F454" s="1" t="s">
        <v>30</v>
      </c>
      <c r="G454" s="1" t="s">
        <v>36</v>
      </c>
      <c r="H454" s="1" t="s">
        <v>37</v>
      </c>
      <c r="I454" s="1" t="s">
        <v>72</v>
      </c>
      <c r="J454">
        <v>100519</v>
      </c>
      <c r="K454">
        <v>0</v>
      </c>
      <c r="L454">
        <v>0</v>
      </c>
      <c r="M454">
        <v>0</v>
      </c>
      <c r="N454">
        <v>3</v>
      </c>
      <c r="O454" s="1" t="s">
        <v>32</v>
      </c>
      <c r="P454">
        <v>2</v>
      </c>
      <c r="Q454">
        <v>0</v>
      </c>
      <c r="R454">
        <v>0</v>
      </c>
      <c r="S454">
        <v>0</v>
      </c>
      <c r="T454">
        <v>0</v>
      </c>
      <c r="U454">
        <f>IF(openpolis_patrimoni_trasparenti_anno_2014[[#This Row],[totale_730_dichiarante]]&lt;&gt;0,LOG10(openpolis_patrimoni_trasparenti_anno_2014[[#This Row],[totale_730_dichiarante]]), 0)</f>
        <v>5.0022481594207155</v>
      </c>
    </row>
    <row r="455" spans="1:21" x14ac:dyDescent="0.3">
      <c r="A455">
        <v>686180</v>
      </c>
      <c r="B455" s="1" t="s">
        <v>453</v>
      </c>
      <c r="C455" s="1" t="s">
        <v>822</v>
      </c>
      <c r="D455" s="2">
        <v>27617</v>
      </c>
      <c r="E455" s="1" t="s">
        <v>41</v>
      </c>
      <c r="F455" s="1" t="s">
        <v>30</v>
      </c>
      <c r="G455" s="1" t="s">
        <v>24</v>
      </c>
      <c r="H455" s="1" t="s">
        <v>24</v>
      </c>
      <c r="I455" s="1" t="s">
        <v>264</v>
      </c>
      <c r="J455">
        <v>88180</v>
      </c>
      <c r="K455">
        <v>0</v>
      </c>
      <c r="L455">
        <v>0</v>
      </c>
      <c r="M455">
        <v>0</v>
      </c>
      <c r="N455">
        <v>3</v>
      </c>
      <c r="O455" s="1" t="s">
        <v>32</v>
      </c>
      <c r="P455">
        <v>2</v>
      </c>
      <c r="Q455">
        <v>0</v>
      </c>
      <c r="R455">
        <v>0</v>
      </c>
      <c r="S455">
        <v>0</v>
      </c>
      <c r="T455">
        <v>0</v>
      </c>
      <c r="U455">
        <f>IF(openpolis_patrimoni_trasparenti_anno_2014[[#This Row],[totale_730_dichiarante]]&lt;&gt;0,LOG10(openpolis_patrimoni_trasparenti_anno_2014[[#This Row],[totale_730_dichiarante]]), 0)</f>
        <v>4.9453700944903041</v>
      </c>
    </row>
    <row r="456" spans="1:21" x14ac:dyDescent="0.3">
      <c r="A456">
        <v>5097</v>
      </c>
      <c r="B456" s="1" t="s">
        <v>225</v>
      </c>
      <c r="C456" s="1" t="s">
        <v>823</v>
      </c>
      <c r="D456" s="2">
        <v>19724</v>
      </c>
      <c r="E456" s="1" t="s">
        <v>75</v>
      </c>
      <c r="F456" s="1" t="s">
        <v>30</v>
      </c>
      <c r="G456" s="1" t="s">
        <v>36</v>
      </c>
      <c r="H456" s="1" t="s">
        <v>54</v>
      </c>
      <c r="I456" s="1" t="s">
        <v>115</v>
      </c>
      <c r="J456">
        <v>108138</v>
      </c>
      <c r="K456">
        <v>0</v>
      </c>
      <c r="L456">
        <v>0</v>
      </c>
      <c r="M456">
        <v>25000</v>
      </c>
      <c r="N456">
        <v>2</v>
      </c>
      <c r="O456" s="1" t="s">
        <v>43</v>
      </c>
      <c r="P456">
        <v>8</v>
      </c>
      <c r="Q456">
        <v>1</v>
      </c>
      <c r="R456">
        <v>0</v>
      </c>
      <c r="S456">
        <v>0</v>
      </c>
      <c r="T456">
        <v>0</v>
      </c>
      <c r="U456">
        <f>IF(openpolis_patrimoni_trasparenti_anno_2014[[#This Row],[totale_730_dichiarante]]&lt;&gt;0,LOG10(openpolis_patrimoni_trasparenti_anno_2014[[#This Row],[totale_730_dichiarante]]), 0)</f>
        <v>5.0339783330868784</v>
      </c>
    </row>
    <row r="457" spans="1:21" x14ac:dyDescent="0.3">
      <c r="A457">
        <v>686485</v>
      </c>
      <c r="B457" s="1" t="s">
        <v>824</v>
      </c>
      <c r="C457" s="1" t="s">
        <v>825</v>
      </c>
      <c r="D457" s="2">
        <v>27832</v>
      </c>
      <c r="E457" s="1" t="s">
        <v>22</v>
      </c>
      <c r="F457" s="1" t="s">
        <v>30</v>
      </c>
      <c r="G457" s="1" t="s">
        <v>126</v>
      </c>
      <c r="H457" s="1" t="s">
        <v>127</v>
      </c>
      <c r="I457" s="1" t="s">
        <v>115</v>
      </c>
      <c r="J457">
        <v>98643</v>
      </c>
      <c r="K457">
        <v>0</v>
      </c>
      <c r="L457">
        <v>0</v>
      </c>
      <c r="M457">
        <v>0</v>
      </c>
      <c r="N457">
        <v>2</v>
      </c>
      <c r="O457" s="1" t="s">
        <v>43</v>
      </c>
      <c r="P457">
        <v>0</v>
      </c>
      <c r="Q457">
        <v>0</v>
      </c>
      <c r="R457">
        <v>0</v>
      </c>
      <c r="S457">
        <v>0</v>
      </c>
      <c r="T457">
        <v>0</v>
      </c>
      <c r="U457">
        <f>IF(openpolis_patrimoni_trasparenti_anno_2014[[#This Row],[totale_730_dichiarante]]&lt;&gt;0,LOG10(openpolis_patrimoni_trasparenti_anno_2014[[#This Row],[totale_730_dichiarante]]), 0)</f>
        <v>4.9940662718564646</v>
      </c>
    </row>
    <row r="458" spans="1:21" x14ac:dyDescent="0.3">
      <c r="A458">
        <v>687453</v>
      </c>
      <c r="B458" s="1" t="s">
        <v>387</v>
      </c>
      <c r="C458" s="1" t="s">
        <v>826</v>
      </c>
      <c r="D458" s="2">
        <v>28266</v>
      </c>
      <c r="E458" s="1" t="s">
        <v>49</v>
      </c>
      <c r="F458" s="1" t="s">
        <v>30</v>
      </c>
      <c r="G458" s="1" t="s">
        <v>126</v>
      </c>
      <c r="H458" s="1" t="s">
        <v>127</v>
      </c>
      <c r="I458" s="1" t="s">
        <v>111</v>
      </c>
      <c r="J458">
        <v>88488</v>
      </c>
      <c r="K458">
        <v>0</v>
      </c>
      <c r="L458">
        <v>0</v>
      </c>
      <c r="M458">
        <v>0</v>
      </c>
      <c r="N458">
        <v>3</v>
      </c>
      <c r="O458" s="1" t="s">
        <v>32</v>
      </c>
      <c r="P458">
        <v>2</v>
      </c>
      <c r="Q458">
        <v>0</v>
      </c>
      <c r="R458">
        <v>0</v>
      </c>
      <c r="S458">
        <v>3</v>
      </c>
      <c r="T458">
        <v>0</v>
      </c>
      <c r="U458">
        <f>IF(openpolis_patrimoni_trasparenti_anno_2014[[#This Row],[totale_730_dichiarante]]&lt;&gt;0,LOG10(openpolis_patrimoni_trasparenti_anno_2014[[#This Row],[totale_730_dichiarante]]), 0)</f>
        <v>4.9468843793177228</v>
      </c>
    </row>
    <row r="459" spans="1:21" x14ac:dyDescent="0.3">
      <c r="A459">
        <v>686772</v>
      </c>
      <c r="B459" s="1" t="s">
        <v>99</v>
      </c>
      <c r="C459" s="1" t="s">
        <v>827</v>
      </c>
      <c r="D459" s="2">
        <v>27271</v>
      </c>
      <c r="E459" s="1" t="s">
        <v>22</v>
      </c>
      <c r="F459" s="1" t="s">
        <v>30</v>
      </c>
      <c r="G459" s="1" t="s">
        <v>24</v>
      </c>
      <c r="H459" s="1" t="s">
        <v>24</v>
      </c>
      <c r="I459" s="1" t="s">
        <v>50</v>
      </c>
      <c r="J459">
        <v>96306</v>
      </c>
      <c r="K459">
        <v>0</v>
      </c>
      <c r="L459">
        <v>0</v>
      </c>
      <c r="M459">
        <v>0</v>
      </c>
      <c r="N459">
        <v>3</v>
      </c>
      <c r="O459" s="1" t="s">
        <v>32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f>IF(openpolis_patrimoni_trasparenti_anno_2014[[#This Row],[totale_730_dichiarante]]&lt;&gt;0,LOG10(openpolis_patrimoni_trasparenti_anno_2014[[#This Row],[totale_730_dichiarante]]), 0)</f>
        <v>4.9836533451278395</v>
      </c>
    </row>
    <row r="460" spans="1:21" x14ac:dyDescent="0.3">
      <c r="A460">
        <v>686287</v>
      </c>
      <c r="B460" s="1" t="s">
        <v>378</v>
      </c>
      <c r="C460" s="1" t="s">
        <v>828</v>
      </c>
      <c r="D460" s="2">
        <v>23771</v>
      </c>
      <c r="E460" s="1" t="s">
        <v>35</v>
      </c>
      <c r="F460" s="1" t="s">
        <v>30</v>
      </c>
      <c r="G460" s="1" t="s">
        <v>25</v>
      </c>
      <c r="H460" s="1" t="s">
        <v>68</v>
      </c>
      <c r="I460" s="1" t="s">
        <v>31</v>
      </c>
      <c r="J460">
        <v>81626</v>
      </c>
      <c r="K460">
        <v>0</v>
      </c>
      <c r="L460">
        <v>0</v>
      </c>
      <c r="M460">
        <v>0</v>
      </c>
      <c r="N460">
        <v>3</v>
      </c>
      <c r="O460" s="1" t="s">
        <v>32</v>
      </c>
      <c r="P460">
        <v>12</v>
      </c>
      <c r="Q460">
        <v>1</v>
      </c>
      <c r="R460">
        <v>0</v>
      </c>
      <c r="S460">
        <v>1</v>
      </c>
      <c r="T460">
        <v>1</v>
      </c>
      <c r="U460">
        <f>IF(openpolis_patrimoni_trasparenti_anno_2014[[#This Row],[totale_730_dichiarante]]&lt;&gt;0,LOG10(openpolis_patrimoni_trasparenti_anno_2014[[#This Row],[totale_730_dichiarante]]), 0)</f>
        <v>4.9118285148567491</v>
      </c>
    </row>
    <row r="461" spans="1:21" x14ac:dyDescent="0.3">
      <c r="A461">
        <v>686529</v>
      </c>
      <c r="B461" s="1" t="s">
        <v>294</v>
      </c>
      <c r="C461" s="1" t="s">
        <v>829</v>
      </c>
      <c r="D461" s="2">
        <v>29820</v>
      </c>
      <c r="E461" s="1" t="s">
        <v>49</v>
      </c>
      <c r="F461" s="1" t="s">
        <v>30</v>
      </c>
      <c r="G461" s="1" t="s">
        <v>102</v>
      </c>
      <c r="H461" s="1" t="s">
        <v>102</v>
      </c>
      <c r="I461" s="1" t="s">
        <v>169</v>
      </c>
      <c r="J461">
        <v>86917</v>
      </c>
      <c r="K461">
        <v>0</v>
      </c>
      <c r="L461">
        <v>0</v>
      </c>
      <c r="M461">
        <v>0</v>
      </c>
      <c r="N461">
        <v>3</v>
      </c>
      <c r="O461" s="1" t="s">
        <v>32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f>IF(openpolis_patrimoni_trasparenti_anno_2014[[#This Row],[totale_730_dichiarante]]&lt;&gt;0,LOG10(openpolis_patrimoni_trasparenti_anno_2014[[#This Row],[totale_730_dichiarante]]), 0)</f>
        <v>4.9391047279346072</v>
      </c>
    </row>
    <row r="462" spans="1:21" x14ac:dyDescent="0.3">
      <c r="A462">
        <v>497764</v>
      </c>
      <c r="B462" s="1" t="s">
        <v>811</v>
      </c>
      <c r="C462" s="1" t="s">
        <v>830</v>
      </c>
      <c r="D462" s="2">
        <v>23690</v>
      </c>
      <c r="E462" s="1" t="s">
        <v>63</v>
      </c>
      <c r="F462" s="1" t="s">
        <v>30</v>
      </c>
      <c r="G462" s="1" t="s">
        <v>25</v>
      </c>
      <c r="H462" s="1" t="s">
        <v>54</v>
      </c>
      <c r="I462" s="1" t="s">
        <v>46</v>
      </c>
      <c r="J462">
        <v>88974</v>
      </c>
      <c r="K462">
        <v>0</v>
      </c>
      <c r="L462">
        <v>0</v>
      </c>
      <c r="M462">
        <v>0</v>
      </c>
      <c r="N462">
        <v>3</v>
      </c>
      <c r="O462" s="1" t="s">
        <v>32</v>
      </c>
      <c r="P462">
        <v>2</v>
      </c>
      <c r="Q462">
        <v>0</v>
      </c>
      <c r="R462">
        <v>3</v>
      </c>
      <c r="S462">
        <v>1</v>
      </c>
      <c r="T462">
        <v>1</v>
      </c>
      <c r="U462">
        <f>IF(openpolis_patrimoni_trasparenti_anno_2014[[#This Row],[totale_730_dichiarante]]&lt;&gt;0,LOG10(openpolis_patrimoni_trasparenti_anno_2014[[#This Row],[totale_730_dichiarante]]), 0)</f>
        <v>4.9492631155640829</v>
      </c>
    </row>
    <row r="463" spans="1:21" x14ac:dyDescent="0.3">
      <c r="A463">
        <v>223058</v>
      </c>
      <c r="B463" s="1" t="s">
        <v>831</v>
      </c>
      <c r="C463" s="1" t="s">
        <v>832</v>
      </c>
      <c r="D463" s="2">
        <v>20831</v>
      </c>
      <c r="E463" s="1" t="s">
        <v>75</v>
      </c>
      <c r="F463" s="1" t="s">
        <v>30</v>
      </c>
      <c r="G463" s="1" t="s">
        <v>36</v>
      </c>
      <c r="H463" s="1" t="s">
        <v>37</v>
      </c>
      <c r="I463" s="1" t="s">
        <v>89</v>
      </c>
      <c r="J463">
        <v>169110</v>
      </c>
      <c r="K463">
        <v>0</v>
      </c>
      <c r="L463">
        <v>0</v>
      </c>
      <c r="M463">
        <v>0</v>
      </c>
      <c r="N463">
        <v>3</v>
      </c>
      <c r="O463" s="1" t="s">
        <v>61</v>
      </c>
      <c r="P463">
        <v>3</v>
      </c>
      <c r="Q463">
        <v>2</v>
      </c>
      <c r="R463">
        <v>3</v>
      </c>
      <c r="S463">
        <v>1</v>
      </c>
      <c r="T463">
        <v>1</v>
      </c>
      <c r="U463">
        <f>IF(openpolis_patrimoni_trasparenti_anno_2014[[#This Row],[totale_730_dichiarante]]&lt;&gt;0,LOG10(openpolis_patrimoni_trasparenti_anno_2014[[#This Row],[totale_730_dichiarante]]), 0)</f>
        <v>5.2281692895398502</v>
      </c>
    </row>
    <row r="464" spans="1:21" x14ac:dyDescent="0.3">
      <c r="A464">
        <v>685792</v>
      </c>
      <c r="B464" s="1" t="s">
        <v>833</v>
      </c>
      <c r="C464" s="1" t="s">
        <v>834</v>
      </c>
      <c r="D464" s="2">
        <v>31678</v>
      </c>
      <c r="E464" s="1" t="s">
        <v>114</v>
      </c>
      <c r="F464" s="1" t="s">
        <v>30</v>
      </c>
      <c r="G464" s="1" t="s">
        <v>102</v>
      </c>
      <c r="H464" s="1" t="s">
        <v>102</v>
      </c>
      <c r="I464" s="1" t="s">
        <v>42</v>
      </c>
      <c r="J464">
        <v>78229.8</v>
      </c>
      <c r="K464">
        <v>0</v>
      </c>
      <c r="L464">
        <v>0</v>
      </c>
      <c r="M464">
        <v>0</v>
      </c>
      <c r="N464">
        <v>3</v>
      </c>
      <c r="O464" s="1" t="s">
        <v>90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f>IF(openpolis_patrimoni_trasparenti_anno_2014[[#This Row],[totale_730_dichiarante]]&lt;&gt;0,LOG10(openpolis_patrimoni_trasparenti_anno_2014[[#This Row],[totale_730_dichiarante]]), 0)</f>
        <v>4.893372219942977</v>
      </c>
    </row>
    <row r="465" spans="1:21" x14ac:dyDescent="0.3">
      <c r="A465">
        <v>687254</v>
      </c>
      <c r="B465" s="1" t="s">
        <v>721</v>
      </c>
      <c r="C465" s="1" t="s">
        <v>835</v>
      </c>
      <c r="D465" s="2">
        <v>31009</v>
      </c>
      <c r="E465" s="1" t="s">
        <v>532</v>
      </c>
      <c r="F465" s="1" t="s">
        <v>30</v>
      </c>
      <c r="G465" s="1" t="s">
        <v>24</v>
      </c>
      <c r="H465" s="1" t="s">
        <v>24</v>
      </c>
      <c r="I465" s="1" t="s">
        <v>55</v>
      </c>
      <c r="J465">
        <v>78967</v>
      </c>
      <c r="K465">
        <v>0</v>
      </c>
      <c r="L465">
        <v>0</v>
      </c>
      <c r="M465">
        <v>0</v>
      </c>
      <c r="N465">
        <v>3</v>
      </c>
      <c r="O465" s="1" t="s">
        <v>32</v>
      </c>
      <c r="P465">
        <v>0</v>
      </c>
      <c r="Q465">
        <v>0</v>
      </c>
      <c r="R465">
        <v>1</v>
      </c>
      <c r="S465">
        <v>0</v>
      </c>
      <c r="T465">
        <v>0</v>
      </c>
      <c r="U465">
        <f>IF(openpolis_patrimoni_trasparenti_anno_2014[[#This Row],[totale_730_dichiarante]]&lt;&gt;0,LOG10(openpolis_patrimoni_trasparenti_anno_2014[[#This Row],[totale_730_dichiarante]]), 0)</f>
        <v>4.8974456392389207</v>
      </c>
    </row>
    <row r="466" spans="1:21" x14ac:dyDescent="0.3">
      <c r="A466">
        <v>592</v>
      </c>
      <c r="B466" s="1" t="s">
        <v>451</v>
      </c>
      <c r="C466" s="1" t="s">
        <v>413</v>
      </c>
      <c r="D466" s="2">
        <v>25342</v>
      </c>
      <c r="E466" s="1" t="s">
        <v>29</v>
      </c>
      <c r="F466" s="1" t="s">
        <v>30</v>
      </c>
      <c r="G466" s="1" t="s">
        <v>24</v>
      </c>
      <c r="H466" s="1" t="s">
        <v>24</v>
      </c>
      <c r="I466" s="1" t="s">
        <v>55</v>
      </c>
      <c r="J466">
        <v>107893</v>
      </c>
      <c r="K466">
        <v>10116</v>
      </c>
      <c r="L466">
        <v>0</v>
      </c>
      <c r="M466">
        <v>0</v>
      </c>
      <c r="N466">
        <v>1</v>
      </c>
      <c r="O466" s="1" t="s">
        <v>119</v>
      </c>
      <c r="P466">
        <v>2</v>
      </c>
      <c r="Q466">
        <v>0</v>
      </c>
      <c r="R466">
        <v>1</v>
      </c>
      <c r="S466">
        <v>0</v>
      </c>
      <c r="T466">
        <v>0</v>
      </c>
      <c r="U466">
        <f>IF(openpolis_patrimoni_trasparenti_anno_2014[[#This Row],[totale_730_dichiarante]]&lt;&gt;0,LOG10(openpolis_patrimoni_trasparenti_anno_2014[[#This Row],[totale_730_dichiarante]]), 0)</f>
        <v>5.0329932689647512</v>
      </c>
    </row>
    <row r="467" spans="1:21" x14ac:dyDescent="0.3">
      <c r="A467">
        <v>300093</v>
      </c>
      <c r="B467" s="1" t="s">
        <v>836</v>
      </c>
      <c r="C467" s="1" t="s">
        <v>837</v>
      </c>
      <c r="D467" s="2">
        <v>26930</v>
      </c>
      <c r="E467" s="1" t="s">
        <v>22</v>
      </c>
      <c r="F467" s="1" t="s">
        <v>30</v>
      </c>
      <c r="G467" s="1" t="s">
        <v>126</v>
      </c>
      <c r="H467" s="1" t="s">
        <v>24</v>
      </c>
      <c r="I467" s="1" t="s">
        <v>46</v>
      </c>
      <c r="J467">
        <v>86165</v>
      </c>
      <c r="K467">
        <v>0</v>
      </c>
      <c r="L467">
        <v>0</v>
      </c>
      <c r="M467">
        <v>0</v>
      </c>
      <c r="N467">
        <v>3</v>
      </c>
      <c r="O467" s="1" t="s">
        <v>32</v>
      </c>
      <c r="P467">
        <v>1</v>
      </c>
      <c r="Q467">
        <v>0</v>
      </c>
      <c r="R467">
        <v>1</v>
      </c>
      <c r="S467">
        <v>0</v>
      </c>
      <c r="T467">
        <v>0</v>
      </c>
      <c r="U467">
        <f>IF(openpolis_patrimoni_trasparenti_anno_2014[[#This Row],[totale_730_dichiarante]]&lt;&gt;0,LOG10(openpolis_patrimoni_trasparenti_anno_2014[[#This Row],[totale_730_dichiarante]]), 0)</f>
        <v>4.9353308923489427</v>
      </c>
    </row>
    <row r="468" spans="1:21" x14ac:dyDescent="0.3">
      <c r="A468">
        <v>171881</v>
      </c>
      <c r="B468" s="1" t="s">
        <v>838</v>
      </c>
      <c r="C468" s="1" t="s">
        <v>839</v>
      </c>
      <c r="D468" s="2">
        <v>20109</v>
      </c>
      <c r="E468" s="1" t="s">
        <v>22</v>
      </c>
      <c r="F468" s="1" t="s">
        <v>30</v>
      </c>
      <c r="G468" s="1" t="s">
        <v>24</v>
      </c>
      <c r="H468" s="1" t="s">
        <v>24</v>
      </c>
      <c r="I468" s="1" t="s">
        <v>178</v>
      </c>
      <c r="J468">
        <v>93925</v>
      </c>
      <c r="K468">
        <v>0</v>
      </c>
      <c r="L468">
        <v>0</v>
      </c>
      <c r="M468">
        <v>0</v>
      </c>
      <c r="N468">
        <v>3</v>
      </c>
      <c r="O468" s="1" t="s">
        <v>32</v>
      </c>
      <c r="P468">
        <v>5</v>
      </c>
      <c r="Q468">
        <v>2</v>
      </c>
      <c r="R468">
        <v>1</v>
      </c>
      <c r="S468">
        <v>0</v>
      </c>
      <c r="T468">
        <v>0</v>
      </c>
      <c r="U468">
        <f>IF(openpolis_patrimoni_trasparenti_anno_2014[[#This Row],[totale_730_dichiarante]]&lt;&gt;0,LOG10(openpolis_patrimoni_trasparenti_anno_2014[[#This Row],[totale_730_dichiarante]]), 0)</f>
        <v>4.9727812037354227</v>
      </c>
    </row>
    <row r="469" spans="1:21" x14ac:dyDescent="0.3">
      <c r="A469">
        <v>34758</v>
      </c>
      <c r="B469" s="1" t="s">
        <v>840</v>
      </c>
      <c r="C469" s="1" t="s">
        <v>841</v>
      </c>
      <c r="D469" s="2">
        <v>25709</v>
      </c>
      <c r="E469" s="1" t="s">
        <v>49</v>
      </c>
      <c r="F469" s="1" t="s">
        <v>30</v>
      </c>
      <c r="G469" s="1" t="s">
        <v>24</v>
      </c>
      <c r="H469" s="1" t="s">
        <v>24</v>
      </c>
      <c r="I469" s="1" t="s">
        <v>89</v>
      </c>
      <c r="J469">
        <v>89341</v>
      </c>
      <c r="K469">
        <v>0</v>
      </c>
      <c r="L469">
        <v>0</v>
      </c>
      <c r="M469">
        <v>0</v>
      </c>
      <c r="N469">
        <v>3</v>
      </c>
      <c r="O469" s="1" t="s">
        <v>32</v>
      </c>
      <c r="P469">
        <v>0</v>
      </c>
      <c r="Q469">
        <v>0</v>
      </c>
      <c r="R469">
        <v>1</v>
      </c>
      <c r="S469">
        <v>1</v>
      </c>
      <c r="T469">
        <v>0</v>
      </c>
      <c r="U469">
        <f>IF(openpolis_patrimoni_trasparenti_anno_2014[[#This Row],[totale_730_dichiarante]]&lt;&gt;0,LOG10(openpolis_patrimoni_trasparenti_anno_2014[[#This Row],[totale_730_dichiarante]]), 0)</f>
        <v>4.9510508092512371</v>
      </c>
    </row>
    <row r="470" spans="1:21" x14ac:dyDescent="0.3">
      <c r="A470">
        <v>686046</v>
      </c>
      <c r="B470" s="1" t="s">
        <v>27</v>
      </c>
      <c r="C470" s="1" t="s">
        <v>842</v>
      </c>
      <c r="D470" s="2">
        <v>30137</v>
      </c>
      <c r="E470" s="1" t="s">
        <v>532</v>
      </c>
      <c r="F470" s="1" t="s">
        <v>30</v>
      </c>
      <c r="G470" s="1" t="s">
        <v>102</v>
      </c>
      <c r="H470" s="1" t="s">
        <v>54</v>
      </c>
      <c r="I470" s="1" t="s">
        <v>111</v>
      </c>
      <c r="J470">
        <v>78230</v>
      </c>
      <c r="K470">
        <v>0</v>
      </c>
      <c r="L470">
        <v>0</v>
      </c>
      <c r="M470">
        <v>0</v>
      </c>
      <c r="N470">
        <v>2</v>
      </c>
      <c r="O470" s="1" t="s">
        <v>43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f>IF(openpolis_patrimoni_trasparenti_anno_2014[[#This Row],[totale_730_dichiarante]]&lt;&gt;0,LOG10(openpolis_patrimoni_trasparenti_anno_2014[[#This Row],[totale_730_dichiarante]]), 0)</f>
        <v>4.8933733302460247</v>
      </c>
    </row>
    <row r="471" spans="1:21" x14ac:dyDescent="0.3">
      <c r="A471">
        <v>313972</v>
      </c>
      <c r="B471" s="1" t="s">
        <v>51</v>
      </c>
      <c r="C471" s="1" t="s">
        <v>843</v>
      </c>
      <c r="D471" s="2">
        <v>23331</v>
      </c>
      <c r="E471" s="1" t="s">
        <v>22</v>
      </c>
      <c r="F471" s="1" t="s">
        <v>30</v>
      </c>
      <c r="G471" s="1" t="s">
        <v>24</v>
      </c>
      <c r="H471" s="1" t="s">
        <v>24</v>
      </c>
      <c r="I471" s="1" t="s">
        <v>50</v>
      </c>
      <c r="J471">
        <v>94254</v>
      </c>
      <c r="K471">
        <v>0</v>
      </c>
      <c r="L471">
        <v>0</v>
      </c>
      <c r="M471">
        <v>0</v>
      </c>
      <c r="N471">
        <v>3</v>
      </c>
      <c r="O471" s="1" t="s">
        <v>32</v>
      </c>
      <c r="P471">
        <v>1</v>
      </c>
      <c r="Q471">
        <v>0</v>
      </c>
      <c r="R471">
        <v>2</v>
      </c>
      <c r="S471">
        <v>0</v>
      </c>
      <c r="T471">
        <v>0</v>
      </c>
      <c r="U471">
        <f>IF(openpolis_patrimoni_trasparenti_anno_2014[[#This Row],[totale_730_dichiarante]]&lt;&gt;0,LOG10(openpolis_patrimoni_trasparenti_anno_2014[[#This Row],[totale_730_dichiarante]]), 0)</f>
        <v>4.9742997900827692</v>
      </c>
    </row>
    <row r="472" spans="1:21" x14ac:dyDescent="0.3">
      <c r="A472">
        <v>332758</v>
      </c>
      <c r="B472" s="1" t="s">
        <v>844</v>
      </c>
      <c r="C472" s="1" t="s">
        <v>845</v>
      </c>
      <c r="D472" s="2">
        <v>16938</v>
      </c>
      <c r="E472" s="1" t="s">
        <v>156</v>
      </c>
      <c r="F472" s="1" t="s">
        <v>30</v>
      </c>
      <c r="G472" s="1" t="s">
        <v>36</v>
      </c>
      <c r="H472" s="1" t="s">
        <v>54</v>
      </c>
      <c r="I472" s="1" t="s">
        <v>111</v>
      </c>
      <c r="J472">
        <v>211610</v>
      </c>
      <c r="K472">
        <v>0</v>
      </c>
      <c r="L472">
        <v>0</v>
      </c>
      <c r="M472">
        <v>0</v>
      </c>
      <c r="N472">
        <v>3</v>
      </c>
      <c r="O472" s="1" t="s">
        <v>32</v>
      </c>
      <c r="P472">
        <v>2</v>
      </c>
      <c r="Q472">
        <v>0</v>
      </c>
      <c r="R472">
        <v>1</v>
      </c>
      <c r="S472">
        <v>0</v>
      </c>
      <c r="T472">
        <v>0</v>
      </c>
      <c r="U472">
        <f>IF(openpolis_patrimoni_trasparenti_anno_2014[[#This Row],[totale_730_dichiarante]]&lt;&gt;0,LOG10(openpolis_patrimoni_trasparenti_anno_2014[[#This Row],[totale_730_dichiarante]]), 0)</f>
        <v>5.3255361871920739</v>
      </c>
    </row>
    <row r="473" spans="1:21" x14ac:dyDescent="0.3">
      <c r="A473">
        <v>89354</v>
      </c>
      <c r="B473" s="1" t="s">
        <v>394</v>
      </c>
      <c r="C473" s="1" t="s">
        <v>846</v>
      </c>
      <c r="D473" s="2">
        <v>27762</v>
      </c>
      <c r="E473" s="1" t="s">
        <v>41</v>
      </c>
      <c r="F473" s="1" t="s">
        <v>30</v>
      </c>
      <c r="G473" s="1" t="s">
        <v>24</v>
      </c>
      <c r="H473" s="1" t="s">
        <v>24</v>
      </c>
      <c r="I473" s="1" t="s">
        <v>58</v>
      </c>
      <c r="J473">
        <v>80891</v>
      </c>
      <c r="K473">
        <v>0</v>
      </c>
      <c r="L473">
        <v>0</v>
      </c>
      <c r="M473">
        <v>0</v>
      </c>
      <c r="N473">
        <v>3</v>
      </c>
      <c r="O473" s="1" t="s">
        <v>32</v>
      </c>
      <c r="P473">
        <v>3</v>
      </c>
      <c r="Q473">
        <v>1</v>
      </c>
      <c r="R473">
        <v>2</v>
      </c>
      <c r="S473">
        <v>0</v>
      </c>
      <c r="T473">
        <v>0</v>
      </c>
      <c r="U473">
        <f>IF(openpolis_patrimoni_trasparenti_anno_2014[[#This Row],[totale_730_dichiarante]]&lt;&gt;0,LOG10(openpolis_patrimoni_trasparenti_anno_2014[[#This Row],[totale_730_dichiarante]]), 0)</f>
        <v>4.9079002043345357</v>
      </c>
    </row>
    <row r="474" spans="1:21" x14ac:dyDescent="0.3">
      <c r="A474">
        <v>28162</v>
      </c>
      <c r="B474" s="1" t="s">
        <v>230</v>
      </c>
      <c r="C474" s="1" t="s">
        <v>847</v>
      </c>
      <c r="D474" s="2">
        <v>22581</v>
      </c>
      <c r="E474" s="1" t="s">
        <v>49</v>
      </c>
      <c r="F474" s="1" t="s">
        <v>30</v>
      </c>
      <c r="G474" s="1" t="s">
        <v>24</v>
      </c>
      <c r="H474" s="1" t="s">
        <v>24</v>
      </c>
      <c r="I474" s="1" t="s">
        <v>111</v>
      </c>
      <c r="J474">
        <v>110814</v>
      </c>
      <c r="K474">
        <v>26038</v>
      </c>
      <c r="L474">
        <v>0</v>
      </c>
      <c r="M474">
        <v>0</v>
      </c>
      <c r="N474">
        <v>3</v>
      </c>
      <c r="O474" s="1" t="s">
        <v>32</v>
      </c>
      <c r="P474">
        <v>2</v>
      </c>
      <c r="Q474">
        <v>0</v>
      </c>
      <c r="R474">
        <v>1</v>
      </c>
      <c r="S474">
        <v>0</v>
      </c>
      <c r="T474">
        <v>0</v>
      </c>
      <c r="U474">
        <f>IF(openpolis_patrimoni_trasparenti_anno_2014[[#This Row],[totale_730_dichiarante]]&lt;&gt;0,LOG10(openpolis_patrimoni_trasparenti_anno_2014[[#This Row],[totale_730_dichiarante]]), 0)</f>
        <v>5.0445946316799173</v>
      </c>
    </row>
    <row r="475" spans="1:21" x14ac:dyDescent="0.3">
      <c r="A475">
        <v>685900</v>
      </c>
      <c r="B475" s="1" t="s">
        <v>387</v>
      </c>
      <c r="C475" s="1" t="s">
        <v>848</v>
      </c>
      <c r="D475" s="2">
        <v>16999</v>
      </c>
      <c r="E475" s="1" t="s">
        <v>136</v>
      </c>
      <c r="F475" s="1" t="s">
        <v>30</v>
      </c>
      <c r="G475" s="1" t="s">
        <v>25</v>
      </c>
      <c r="H475" s="1" t="s">
        <v>68</v>
      </c>
      <c r="I475" s="1" t="s">
        <v>200</v>
      </c>
      <c r="J475">
        <v>199755</v>
      </c>
      <c r="K475">
        <v>32625</v>
      </c>
      <c r="L475">
        <v>0</v>
      </c>
      <c r="M475">
        <v>0</v>
      </c>
      <c r="N475">
        <v>3</v>
      </c>
      <c r="O475" s="1" t="s">
        <v>32</v>
      </c>
      <c r="P475">
        <v>1</v>
      </c>
      <c r="Q475">
        <v>0</v>
      </c>
      <c r="R475">
        <v>1</v>
      </c>
      <c r="S475">
        <v>0</v>
      </c>
      <c r="T475">
        <v>1</v>
      </c>
      <c r="U475">
        <f>IF(openpolis_patrimoni_trasparenti_anno_2014[[#This Row],[totale_730_dichiarante]]&lt;&gt;0,LOG10(openpolis_patrimoni_trasparenti_anno_2014[[#This Row],[totale_730_dichiarante]]), 0)</f>
        <v>5.30049765880071</v>
      </c>
    </row>
    <row r="476" spans="1:21" x14ac:dyDescent="0.3">
      <c r="A476">
        <v>332756</v>
      </c>
      <c r="B476" s="1" t="s">
        <v>219</v>
      </c>
      <c r="C476" s="1" t="s">
        <v>849</v>
      </c>
      <c r="D476" s="2">
        <v>27825</v>
      </c>
      <c r="E476" s="1" t="s">
        <v>41</v>
      </c>
      <c r="F476" s="1" t="s">
        <v>30</v>
      </c>
      <c r="G476" s="1" t="s">
        <v>53</v>
      </c>
      <c r="H476" s="1" t="s">
        <v>53</v>
      </c>
      <c r="I476" s="1" t="s">
        <v>72</v>
      </c>
      <c r="J476">
        <v>100971</v>
      </c>
      <c r="K476">
        <v>0</v>
      </c>
      <c r="L476">
        <v>0</v>
      </c>
      <c r="M476">
        <v>606</v>
      </c>
      <c r="N476">
        <v>2</v>
      </c>
      <c r="O476" s="1" t="s">
        <v>43</v>
      </c>
      <c r="P476">
        <v>22</v>
      </c>
      <c r="Q476">
        <v>11</v>
      </c>
      <c r="R476">
        <v>1</v>
      </c>
      <c r="S476">
        <v>0</v>
      </c>
      <c r="T476">
        <v>0</v>
      </c>
      <c r="U476">
        <f>IF(openpolis_patrimoni_trasparenti_anno_2014[[#This Row],[totale_730_dichiarante]]&lt;&gt;0,LOG10(openpolis_patrimoni_trasparenti_anno_2014[[#This Row],[totale_730_dichiarante]]), 0)</f>
        <v>5.004196657461371</v>
      </c>
    </row>
    <row r="477" spans="1:21" x14ac:dyDescent="0.3">
      <c r="A477">
        <v>687602</v>
      </c>
      <c r="B477" s="1" t="s">
        <v>850</v>
      </c>
      <c r="C477" s="1" t="s">
        <v>851</v>
      </c>
      <c r="D477" s="2">
        <v>29327</v>
      </c>
      <c r="E477" s="1" t="s">
        <v>22</v>
      </c>
      <c r="F477" s="1" t="s">
        <v>30</v>
      </c>
      <c r="G477" s="1" t="s">
        <v>24</v>
      </c>
      <c r="H477" s="1" t="s">
        <v>24</v>
      </c>
      <c r="I477" s="1" t="s">
        <v>169</v>
      </c>
      <c r="J477">
        <v>80401</v>
      </c>
      <c r="K477">
        <v>0</v>
      </c>
      <c r="L477">
        <v>0</v>
      </c>
      <c r="M477">
        <v>0</v>
      </c>
      <c r="N477">
        <v>3</v>
      </c>
      <c r="O477" s="1" t="s">
        <v>32</v>
      </c>
      <c r="P477">
        <v>0</v>
      </c>
      <c r="Q477">
        <v>0</v>
      </c>
      <c r="R477">
        <v>3</v>
      </c>
      <c r="S477">
        <v>0</v>
      </c>
      <c r="T477">
        <v>0</v>
      </c>
      <c r="U477">
        <f>IF(openpolis_patrimoni_trasparenti_anno_2014[[#This Row],[totale_730_dichiarante]]&lt;&gt;0,LOG10(openpolis_patrimoni_trasparenti_anno_2014[[#This Row],[totale_730_dichiarante]]), 0)</f>
        <v>4.9052614503875196</v>
      </c>
    </row>
    <row r="478" spans="1:21" x14ac:dyDescent="0.3">
      <c r="A478">
        <v>578</v>
      </c>
      <c r="B478" s="1" t="s">
        <v>242</v>
      </c>
      <c r="C478" s="1" t="s">
        <v>852</v>
      </c>
      <c r="D478" s="2">
        <v>18763</v>
      </c>
      <c r="E478" s="1" t="s">
        <v>29</v>
      </c>
      <c r="F478" s="1" t="s">
        <v>30</v>
      </c>
      <c r="G478" s="1" t="s">
        <v>24</v>
      </c>
      <c r="H478" s="1" t="s">
        <v>24</v>
      </c>
      <c r="I478" s="1" t="s">
        <v>64</v>
      </c>
      <c r="J478">
        <v>169892</v>
      </c>
      <c r="K478">
        <v>0</v>
      </c>
      <c r="L478">
        <v>0</v>
      </c>
      <c r="M478">
        <v>0</v>
      </c>
      <c r="N478">
        <v>3</v>
      </c>
      <c r="O478" s="1" t="s">
        <v>32</v>
      </c>
      <c r="P478">
        <v>4</v>
      </c>
      <c r="Q478">
        <v>0</v>
      </c>
      <c r="R478">
        <v>2</v>
      </c>
      <c r="S478">
        <v>0</v>
      </c>
      <c r="T478">
        <v>0</v>
      </c>
      <c r="U478">
        <f>IF(openpolis_patrimoni_trasparenti_anno_2014[[#This Row],[totale_730_dichiarante]]&lt;&gt;0,LOG10(openpolis_patrimoni_trasparenti_anno_2014[[#This Row],[totale_730_dichiarante]]), 0)</f>
        <v>5.2301729289711325</v>
      </c>
    </row>
    <row r="479" spans="1:21" x14ac:dyDescent="0.3">
      <c r="A479">
        <v>686040</v>
      </c>
      <c r="B479" s="1" t="s">
        <v>145</v>
      </c>
      <c r="C479" s="1" t="s">
        <v>853</v>
      </c>
      <c r="D479" s="2">
        <v>20127</v>
      </c>
      <c r="E479" s="1" t="s">
        <v>156</v>
      </c>
      <c r="F479" s="1" t="s">
        <v>30</v>
      </c>
      <c r="G479" s="1" t="s">
        <v>25</v>
      </c>
      <c r="H479" s="1" t="s">
        <v>68</v>
      </c>
      <c r="I479" s="1" t="s">
        <v>111</v>
      </c>
      <c r="J479">
        <v>182715</v>
      </c>
      <c r="K479">
        <v>16154</v>
      </c>
      <c r="L479">
        <v>0</v>
      </c>
      <c r="M479">
        <v>0</v>
      </c>
      <c r="N479">
        <v>3</v>
      </c>
      <c r="O479" s="1" t="s">
        <v>32</v>
      </c>
      <c r="P479">
        <v>2</v>
      </c>
      <c r="Q479">
        <v>1</v>
      </c>
      <c r="R479">
        <v>2</v>
      </c>
      <c r="S479">
        <v>0</v>
      </c>
      <c r="T479">
        <v>2</v>
      </c>
      <c r="U479">
        <f>IF(openpolis_patrimoni_trasparenti_anno_2014[[#This Row],[totale_730_dichiarante]]&lt;&gt;0,LOG10(openpolis_patrimoni_trasparenti_anno_2014[[#This Row],[totale_730_dichiarante]]), 0)</f>
        <v>5.2617742022502965</v>
      </c>
    </row>
    <row r="480" spans="1:21" x14ac:dyDescent="0.3">
      <c r="A480">
        <v>171845</v>
      </c>
      <c r="B480" s="1" t="s">
        <v>762</v>
      </c>
      <c r="C480" s="1" t="s">
        <v>854</v>
      </c>
      <c r="D480" s="2">
        <v>22625</v>
      </c>
      <c r="E480" s="1" t="s">
        <v>22</v>
      </c>
      <c r="F480" s="1" t="s">
        <v>30</v>
      </c>
      <c r="G480" s="1" t="s">
        <v>24</v>
      </c>
      <c r="H480" s="1" t="s">
        <v>24</v>
      </c>
      <c r="I480" s="1" t="s">
        <v>178</v>
      </c>
      <c r="J480">
        <v>86201</v>
      </c>
      <c r="K480">
        <v>0</v>
      </c>
      <c r="L480">
        <v>0</v>
      </c>
      <c r="M480">
        <v>0</v>
      </c>
      <c r="N480">
        <v>3</v>
      </c>
      <c r="O480" s="1" t="s">
        <v>32</v>
      </c>
      <c r="P480">
        <v>1</v>
      </c>
      <c r="Q480">
        <v>0</v>
      </c>
      <c r="R480">
        <v>2</v>
      </c>
      <c r="S480">
        <v>0</v>
      </c>
      <c r="T480">
        <v>0</v>
      </c>
      <c r="U480">
        <f>IF(openpolis_patrimoni_trasparenti_anno_2014[[#This Row],[totale_730_dichiarante]]&lt;&gt;0,LOG10(openpolis_patrimoni_trasparenti_anno_2014[[#This Row],[totale_730_dichiarante]]), 0)</f>
        <v>4.9355123040145363</v>
      </c>
    </row>
    <row r="481" spans="1:21" x14ac:dyDescent="0.3">
      <c r="A481">
        <v>274982</v>
      </c>
      <c r="B481" s="1" t="s">
        <v>317</v>
      </c>
      <c r="C481" s="1" t="s">
        <v>855</v>
      </c>
      <c r="D481" s="2">
        <v>20942</v>
      </c>
      <c r="E481" s="1" t="s">
        <v>249</v>
      </c>
      <c r="F481" s="1" t="s">
        <v>30</v>
      </c>
      <c r="G481" s="1" t="s">
        <v>36</v>
      </c>
      <c r="H481" s="1" t="s">
        <v>168</v>
      </c>
      <c r="I481" s="1" t="s">
        <v>169</v>
      </c>
      <c r="J481">
        <v>100551</v>
      </c>
      <c r="K481">
        <v>0</v>
      </c>
      <c r="L481">
        <v>0</v>
      </c>
      <c r="M481">
        <v>0</v>
      </c>
      <c r="N481">
        <v>3</v>
      </c>
      <c r="O481" s="1" t="s">
        <v>32</v>
      </c>
      <c r="P481">
        <v>11</v>
      </c>
      <c r="Q481">
        <v>20</v>
      </c>
      <c r="R481">
        <v>1</v>
      </c>
      <c r="S481">
        <v>0</v>
      </c>
      <c r="T481">
        <v>0</v>
      </c>
      <c r="U481">
        <f>IF(openpolis_patrimoni_trasparenti_anno_2014[[#This Row],[totale_730_dichiarante]]&lt;&gt;0,LOG10(openpolis_patrimoni_trasparenti_anno_2014[[#This Row],[totale_730_dichiarante]]), 0)</f>
        <v>5.0023863941005606</v>
      </c>
    </row>
    <row r="482" spans="1:21" x14ac:dyDescent="0.3">
      <c r="A482">
        <v>573</v>
      </c>
      <c r="B482" s="1" t="s">
        <v>217</v>
      </c>
      <c r="C482" s="1" t="s">
        <v>856</v>
      </c>
      <c r="D482" s="2">
        <v>25085</v>
      </c>
      <c r="E482" s="1" t="s">
        <v>63</v>
      </c>
      <c r="F482" s="1" t="s">
        <v>30</v>
      </c>
      <c r="G482" s="1" t="s">
        <v>24</v>
      </c>
      <c r="H482" s="1" t="s">
        <v>24</v>
      </c>
      <c r="I482" s="1" t="s">
        <v>72</v>
      </c>
      <c r="J482">
        <v>98471</v>
      </c>
      <c r="K482">
        <v>0</v>
      </c>
      <c r="L482">
        <v>0</v>
      </c>
      <c r="M482">
        <v>0</v>
      </c>
      <c r="N482">
        <v>3</v>
      </c>
      <c r="O482" s="1" t="s">
        <v>32</v>
      </c>
      <c r="P482">
        <v>3</v>
      </c>
      <c r="Q482">
        <v>0</v>
      </c>
      <c r="R482">
        <v>0</v>
      </c>
      <c r="S482">
        <v>0</v>
      </c>
      <c r="T482">
        <v>0</v>
      </c>
      <c r="U482">
        <f>IF(openpolis_patrimoni_trasparenti_anno_2014[[#This Row],[totale_730_dichiarante]]&lt;&gt;0,LOG10(openpolis_patrimoni_trasparenti_anno_2014[[#This Row],[totale_730_dichiarante]]), 0)</f>
        <v>4.9933083483213911</v>
      </c>
    </row>
    <row r="483" spans="1:21" x14ac:dyDescent="0.3">
      <c r="A483">
        <v>332751</v>
      </c>
      <c r="B483" s="1" t="s">
        <v>857</v>
      </c>
      <c r="C483" s="1" t="s">
        <v>858</v>
      </c>
      <c r="D483" s="2">
        <v>17548</v>
      </c>
      <c r="E483" s="1" t="s">
        <v>136</v>
      </c>
      <c r="F483" s="1" t="s">
        <v>30</v>
      </c>
      <c r="G483" s="1" t="s">
        <v>24</v>
      </c>
      <c r="H483" s="1" t="s">
        <v>24</v>
      </c>
      <c r="I483" s="1" t="s">
        <v>55</v>
      </c>
      <c r="J483">
        <v>143078</v>
      </c>
      <c r="K483">
        <v>0</v>
      </c>
      <c r="L483">
        <v>0</v>
      </c>
      <c r="M483">
        <v>0</v>
      </c>
      <c r="N483">
        <v>3</v>
      </c>
      <c r="O483" s="1" t="s">
        <v>32</v>
      </c>
      <c r="P483">
        <v>1</v>
      </c>
      <c r="Q483">
        <v>0</v>
      </c>
      <c r="R483">
        <v>2</v>
      </c>
      <c r="S483">
        <v>0</v>
      </c>
      <c r="T483">
        <v>0</v>
      </c>
      <c r="U483">
        <f>IF(openpolis_patrimoni_trasparenti_anno_2014[[#This Row],[totale_730_dichiarante]]&lt;&gt;0,LOG10(openpolis_patrimoni_trasparenti_anno_2014[[#This Row],[totale_730_dichiarante]]), 0)</f>
        <v>5.1555728607819749</v>
      </c>
    </row>
    <row r="484" spans="1:21" x14ac:dyDescent="0.3">
      <c r="A484">
        <v>124341</v>
      </c>
      <c r="B484" s="1" t="s">
        <v>859</v>
      </c>
      <c r="C484" s="1" t="s">
        <v>860</v>
      </c>
      <c r="D484" s="2">
        <v>27251</v>
      </c>
      <c r="E484" s="1" t="s">
        <v>41</v>
      </c>
      <c r="F484" s="1" t="s">
        <v>30</v>
      </c>
      <c r="G484" s="1" t="s">
        <v>24</v>
      </c>
      <c r="H484" s="1" t="s">
        <v>24</v>
      </c>
      <c r="I484" s="1" t="s">
        <v>50</v>
      </c>
      <c r="J484">
        <v>30601</v>
      </c>
      <c r="K484">
        <v>0</v>
      </c>
      <c r="L484">
        <v>0</v>
      </c>
      <c r="M484">
        <v>0</v>
      </c>
      <c r="N484">
        <v>3</v>
      </c>
      <c r="O484" s="1" t="s">
        <v>61</v>
      </c>
      <c r="P484">
        <v>0</v>
      </c>
      <c r="Q484">
        <v>0</v>
      </c>
      <c r="R484">
        <v>1</v>
      </c>
      <c r="S484">
        <v>0</v>
      </c>
      <c r="T484">
        <v>0</v>
      </c>
      <c r="U484">
        <f>IF(openpolis_patrimoni_trasparenti_anno_2014[[#This Row],[totale_730_dichiarante]]&lt;&gt;0,LOG10(openpolis_patrimoni_trasparenti_anno_2014[[#This Row],[totale_730_dichiarante]]), 0)</f>
        <v>4.485735618879807</v>
      </c>
    </row>
    <row r="485" spans="1:21" x14ac:dyDescent="0.3">
      <c r="A485">
        <v>569</v>
      </c>
      <c r="B485" s="1" t="s">
        <v>861</v>
      </c>
      <c r="C485" s="1" t="s">
        <v>862</v>
      </c>
      <c r="D485" s="2">
        <v>22759</v>
      </c>
      <c r="E485" s="1" t="s">
        <v>35</v>
      </c>
      <c r="F485" s="1" t="s">
        <v>30</v>
      </c>
      <c r="G485" s="1" t="s">
        <v>36</v>
      </c>
      <c r="H485" s="1" t="s">
        <v>37</v>
      </c>
      <c r="I485" s="1" t="s">
        <v>55</v>
      </c>
      <c r="J485">
        <v>115669</v>
      </c>
      <c r="K485">
        <v>0</v>
      </c>
      <c r="L485">
        <v>0</v>
      </c>
      <c r="M485">
        <v>0</v>
      </c>
      <c r="N485">
        <v>3</v>
      </c>
      <c r="O485" s="1" t="s">
        <v>32</v>
      </c>
      <c r="P485">
        <v>5</v>
      </c>
      <c r="Q485">
        <v>0</v>
      </c>
      <c r="R485">
        <v>2</v>
      </c>
      <c r="S485">
        <v>0</v>
      </c>
      <c r="T485">
        <v>0</v>
      </c>
      <c r="U485">
        <f>IF(openpolis_patrimoni_trasparenti_anno_2014[[#This Row],[totale_730_dichiarante]]&lt;&gt;0,LOG10(openpolis_patrimoni_trasparenti_anno_2014[[#This Row],[totale_730_dichiarante]]), 0)</f>
        <v>5.0632169809666303</v>
      </c>
    </row>
    <row r="486" spans="1:21" x14ac:dyDescent="0.3">
      <c r="A486">
        <v>332750</v>
      </c>
      <c r="B486" s="1" t="s">
        <v>850</v>
      </c>
      <c r="C486" s="1" t="s">
        <v>863</v>
      </c>
      <c r="D486" s="2">
        <v>28526</v>
      </c>
      <c r="E486" s="1" t="s">
        <v>35</v>
      </c>
      <c r="F486" s="1" t="s">
        <v>30</v>
      </c>
      <c r="G486" s="1" t="s">
        <v>36</v>
      </c>
      <c r="H486" s="1" t="s">
        <v>168</v>
      </c>
      <c r="I486" s="1" t="s">
        <v>38</v>
      </c>
      <c r="J486">
        <v>92045</v>
      </c>
      <c r="K486">
        <v>0</v>
      </c>
      <c r="L486">
        <v>0</v>
      </c>
      <c r="M486">
        <v>0</v>
      </c>
      <c r="N486">
        <v>3</v>
      </c>
      <c r="O486" s="1" t="s">
        <v>32</v>
      </c>
      <c r="P486">
        <v>3</v>
      </c>
      <c r="Q486">
        <v>2</v>
      </c>
      <c r="R486">
        <v>0</v>
      </c>
      <c r="S486">
        <v>5</v>
      </c>
      <c r="T486">
        <v>0</v>
      </c>
      <c r="U486">
        <f>IF(openpolis_patrimoni_trasparenti_anno_2014[[#This Row],[totale_730_dichiarante]]&lt;&gt;0,LOG10(openpolis_patrimoni_trasparenti_anno_2014[[#This Row],[totale_730_dichiarante]]), 0)</f>
        <v>4.9640002020590774</v>
      </c>
    </row>
    <row r="487" spans="1:21" x14ac:dyDescent="0.3">
      <c r="A487">
        <v>566</v>
      </c>
      <c r="B487" s="1" t="s">
        <v>864</v>
      </c>
      <c r="C487" s="1" t="s">
        <v>865</v>
      </c>
      <c r="D487" s="2">
        <v>25010</v>
      </c>
      <c r="E487" s="1" t="s">
        <v>156</v>
      </c>
      <c r="F487" s="1" t="s">
        <v>30</v>
      </c>
      <c r="G487" s="1" t="s">
        <v>126</v>
      </c>
      <c r="H487" s="1" t="s">
        <v>24</v>
      </c>
      <c r="I487" s="1" t="s">
        <v>264</v>
      </c>
      <c r="J487">
        <v>97576</v>
      </c>
      <c r="K487">
        <v>0</v>
      </c>
      <c r="L487">
        <v>0</v>
      </c>
      <c r="M487">
        <v>0</v>
      </c>
      <c r="N487">
        <v>3</v>
      </c>
      <c r="O487" s="1" t="s">
        <v>32</v>
      </c>
      <c r="P487">
        <v>1</v>
      </c>
      <c r="Q487">
        <v>0</v>
      </c>
      <c r="R487">
        <v>1</v>
      </c>
      <c r="S487">
        <v>0</v>
      </c>
      <c r="T487">
        <v>0</v>
      </c>
      <c r="U487">
        <f>IF(openpolis_patrimoni_trasparenti_anno_2014[[#This Row],[totale_730_dichiarante]]&lt;&gt;0,LOG10(openpolis_patrimoni_trasparenti_anno_2014[[#This Row],[totale_730_dichiarante]]), 0)</f>
        <v>4.9893430108091046</v>
      </c>
    </row>
    <row r="488" spans="1:21" x14ac:dyDescent="0.3">
      <c r="A488">
        <v>685893</v>
      </c>
      <c r="B488" s="1" t="s">
        <v>317</v>
      </c>
      <c r="C488" s="1" t="s">
        <v>866</v>
      </c>
      <c r="D488" s="2">
        <v>29271</v>
      </c>
      <c r="E488" s="1" t="s">
        <v>63</v>
      </c>
      <c r="F488" s="1" t="s">
        <v>30</v>
      </c>
      <c r="G488" s="1" t="s">
        <v>102</v>
      </c>
      <c r="H488" s="1" t="s">
        <v>102</v>
      </c>
      <c r="I488" s="1" t="s">
        <v>264</v>
      </c>
      <c r="J488">
        <v>78229.8</v>
      </c>
      <c r="K488">
        <v>0</v>
      </c>
      <c r="L488">
        <v>0</v>
      </c>
      <c r="M488">
        <v>0</v>
      </c>
      <c r="N488">
        <v>3</v>
      </c>
      <c r="O488" s="1" t="s">
        <v>90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f>IF(openpolis_patrimoni_trasparenti_anno_2014[[#This Row],[totale_730_dichiarante]]&lt;&gt;0,LOG10(openpolis_patrimoni_trasparenti_anno_2014[[#This Row],[totale_730_dichiarante]]), 0)</f>
        <v>4.893372219942977</v>
      </c>
    </row>
    <row r="489" spans="1:21" x14ac:dyDescent="0.3">
      <c r="A489">
        <v>364324</v>
      </c>
      <c r="B489" s="1" t="s">
        <v>346</v>
      </c>
      <c r="C489" s="1" t="s">
        <v>867</v>
      </c>
      <c r="D489" s="2">
        <v>22357</v>
      </c>
      <c r="E489" s="1" t="s">
        <v>22</v>
      </c>
      <c r="F489" s="1" t="s">
        <v>30</v>
      </c>
      <c r="G489" s="1" t="s">
        <v>24</v>
      </c>
      <c r="H489" s="1" t="s">
        <v>24</v>
      </c>
      <c r="I489" s="1" t="s">
        <v>50</v>
      </c>
      <c r="J489">
        <v>84759</v>
      </c>
      <c r="K489">
        <v>0</v>
      </c>
      <c r="L489">
        <v>0</v>
      </c>
      <c r="M489">
        <v>0</v>
      </c>
      <c r="N489">
        <v>2</v>
      </c>
      <c r="O489" s="1" t="s">
        <v>43</v>
      </c>
      <c r="P489">
        <v>2</v>
      </c>
      <c r="Q489">
        <v>0</v>
      </c>
      <c r="R489">
        <v>1</v>
      </c>
      <c r="S489">
        <v>0</v>
      </c>
      <c r="T489">
        <v>0</v>
      </c>
      <c r="U489">
        <f>IF(openpolis_patrimoni_trasparenti_anno_2014[[#This Row],[totale_730_dichiarante]]&lt;&gt;0,LOG10(openpolis_patrimoni_trasparenti_anno_2014[[#This Row],[totale_730_dichiarante]]), 0)</f>
        <v>4.9281858241944452</v>
      </c>
    </row>
    <row r="490" spans="1:21" x14ac:dyDescent="0.3">
      <c r="A490">
        <v>562</v>
      </c>
      <c r="B490" s="1" t="s">
        <v>868</v>
      </c>
      <c r="C490" s="1" t="s">
        <v>869</v>
      </c>
      <c r="D490" s="2">
        <v>19487</v>
      </c>
      <c r="E490" s="1" t="s">
        <v>22</v>
      </c>
      <c r="F490" s="1" t="s">
        <v>30</v>
      </c>
      <c r="G490" s="1" t="s">
        <v>24</v>
      </c>
      <c r="H490" s="1" t="s">
        <v>24</v>
      </c>
      <c r="I490" s="1" t="s">
        <v>50</v>
      </c>
      <c r="J490">
        <v>115841</v>
      </c>
      <c r="K490">
        <v>0</v>
      </c>
      <c r="L490">
        <v>0</v>
      </c>
      <c r="M490">
        <v>0</v>
      </c>
      <c r="N490">
        <v>3</v>
      </c>
      <c r="O490" s="1" t="s">
        <v>90</v>
      </c>
      <c r="P490">
        <v>7</v>
      </c>
      <c r="Q490">
        <v>0</v>
      </c>
      <c r="R490">
        <v>1</v>
      </c>
      <c r="S490">
        <v>0</v>
      </c>
      <c r="T490">
        <v>0</v>
      </c>
      <c r="U490">
        <f>IF(openpolis_patrimoni_trasparenti_anno_2014[[#This Row],[totale_730_dichiarante]]&lt;&gt;0,LOG10(openpolis_patrimoni_trasparenti_anno_2014[[#This Row],[totale_730_dichiarante]]), 0)</f>
        <v>5.0638622979259944</v>
      </c>
    </row>
    <row r="491" spans="1:21" x14ac:dyDescent="0.3">
      <c r="A491">
        <v>560</v>
      </c>
      <c r="B491" s="1" t="s">
        <v>870</v>
      </c>
      <c r="C491" s="1" t="s">
        <v>871</v>
      </c>
      <c r="D491" s="2">
        <v>22791</v>
      </c>
      <c r="E491" s="1" t="s">
        <v>35</v>
      </c>
      <c r="F491" s="1" t="s">
        <v>30</v>
      </c>
      <c r="G491" s="1" t="s">
        <v>278</v>
      </c>
      <c r="H491" s="1" t="s">
        <v>54</v>
      </c>
      <c r="I491" s="1" t="s">
        <v>280</v>
      </c>
      <c r="J491">
        <v>151963.6</v>
      </c>
      <c r="K491">
        <v>0</v>
      </c>
      <c r="L491">
        <v>0</v>
      </c>
      <c r="M491">
        <v>0</v>
      </c>
      <c r="N491">
        <v>2</v>
      </c>
      <c r="O491" s="1" t="s">
        <v>43</v>
      </c>
      <c r="P491">
        <v>1</v>
      </c>
      <c r="Q491">
        <v>0</v>
      </c>
      <c r="R491">
        <v>2</v>
      </c>
      <c r="S491">
        <v>0</v>
      </c>
      <c r="T491">
        <v>0</v>
      </c>
      <c r="U491">
        <f>IF(openpolis_patrimoni_trasparenti_anno_2014[[#This Row],[totale_730_dichiarante]]&lt;&gt;0,LOG10(openpolis_patrimoni_trasparenti_anno_2014[[#This Row],[totale_730_dichiarante]]), 0)</f>
        <v>5.1817395733902876</v>
      </c>
    </row>
    <row r="492" spans="1:21" x14ac:dyDescent="0.3">
      <c r="A492">
        <v>389</v>
      </c>
      <c r="B492" s="1" t="s">
        <v>872</v>
      </c>
      <c r="C492" s="1" t="s">
        <v>873</v>
      </c>
      <c r="D492" s="2">
        <v>14986</v>
      </c>
      <c r="E492" s="1" t="s">
        <v>146</v>
      </c>
      <c r="F492" s="1" t="s">
        <v>30</v>
      </c>
      <c r="G492" s="1" t="s">
        <v>24</v>
      </c>
      <c r="H492" s="1" t="s">
        <v>24</v>
      </c>
      <c r="I492" s="1" t="s">
        <v>430</v>
      </c>
      <c r="J492">
        <v>152071.6</v>
      </c>
      <c r="K492">
        <v>0</v>
      </c>
      <c r="L492">
        <v>0</v>
      </c>
      <c r="M492">
        <v>0</v>
      </c>
      <c r="N492">
        <v>3</v>
      </c>
      <c r="O492" s="1" t="s">
        <v>90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f>IF(openpolis_patrimoni_trasparenti_anno_2014[[#This Row],[totale_730_dichiarante]]&lt;&gt;0,LOG10(openpolis_patrimoni_trasparenti_anno_2014[[#This Row],[totale_730_dichiarante]]), 0)</f>
        <v>5.1820481153355518</v>
      </c>
    </row>
    <row r="493" spans="1:21" x14ac:dyDescent="0.3">
      <c r="A493">
        <v>556</v>
      </c>
      <c r="B493" s="1" t="s">
        <v>874</v>
      </c>
      <c r="C493" s="1" t="s">
        <v>875</v>
      </c>
      <c r="D493" s="2">
        <v>28140</v>
      </c>
      <c r="E493" s="1" t="s">
        <v>156</v>
      </c>
      <c r="F493" s="1" t="s">
        <v>30</v>
      </c>
      <c r="G493" s="1" t="s">
        <v>25</v>
      </c>
      <c r="H493" s="1" t="s">
        <v>876</v>
      </c>
      <c r="I493" s="1" t="s">
        <v>264</v>
      </c>
      <c r="J493">
        <v>98536</v>
      </c>
      <c r="K493">
        <v>0</v>
      </c>
      <c r="L493">
        <v>0</v>
      </c>
      <c r="M493">
        <v>0</v>
      </c>
      <c r="N493">
        <v>3</v>
      </c>
      <c r="O493" s="1" t="s">
        <v>32</v>
      </c>
      <c r="P493">
        <v>1</v>
      </c>
      <c r="Q493">
        <v>0</v>
      </c>
      <c r="R493">
        <v>2</v>
      </c>
      <c r="S493">
        <v>0</v>
      </c>
      <c r="T493">
        <v>0</v>
      </c>
      <c r="U493">
        <f>IF(openpolis_patrimoni_trasparenti_anno_2014[[#This Row],[totale_730_dichiarante]]&lt;&gt;0,LOG10(openpolis_patrimoni_trasparenti_anno_2014[[#This Row],[totale_730_dichiarante]]), 0)</f>
        <v>4.9935949284159866</v>
      </c>
    </row>
    <row r="494" spans="1:21" x14ac:dyDescent="0.3">
      <c r="A494">
        <v>8295</v>
      </c>
      <c r="B494" s="1" t="s">
        <v>877</v>
      </c>
      <c r="C494" s="1" t="s">
        <v>878</v>
      </c>
      <c r="D494" s="2">
        <v>21279</v>
      </c>
      <c r="E494" s="1" t="s">
        <v>35</v>
      </c>
      <c r="F494" s="1" t="s">
        <v>30</v>
      </c>
      <c r="G494" s="1" t="s">
        <v>24</v>
      </c>
      <c r="H494" s="1" t="s">
        <v>24</v>
      </c>
      <c r="I494" s="1" t="s">
        <v>159</v>
      </c>
      <c r="J494">
        <v>97079</v>
      </c>
      <c r="K494">
        <v>0</v>
      </c>
      <c r="L494">
        <v>0</v>
      </c>
      <c r="M494">
        <v>0</v>
      </c>
      <c r="N494">
        <v>3</v>
      </c>
      <c r="O494" s="1" t="s">
        <v>32</v>
      </c>
      <c r="P494">
        <v>1</v>
      </c>
      <c r="Q494">
        <v>0</v>
      </c>
      <c r="R494">
        <v>1</v>
      </c>
      <c r="S494">
        <v>0</v>
      </c>
      <c r="T494">
        <v>0</v>
      </c>
      <c r="U494">
        <f>IF(openpolis_patrimoni_trasparenti_anno_2014[[#This Row],[totale_730_dichiarante]]&lt;&gt;0,LOG10(openpolis_patrimoni_trasparenti_anno_2014[[#This Row],[totale_730_dichiarante]]), 0)</f>
        <v>4.9871252940637012</v>
      </c>
    </row>
    <row r="495" spans="1:21" x14ac:dyDescent="0.3">
      <c r="A495">
        <v>9100</v>
      </c>
      <c r="B495" s="1" t="s">
        <v>451</v>
      </c>
      <c r="C495" s="1" t="s">
        <v>879</v>
      </c>
      <c r="D495" s="2">
        <v>26461</v>
      </c>
      <c r="E495" s="1" t="s">
        <v>22</v>
      </c>
      <c r="F495" s="1" t="s">
        <v>30</v>
      </c>
      <c r="G495" s="1" t="s">
        <v>24</v>
      </c>
      <c r="H495" s="1" t="s">
        <v>24</v>
      </c>
      <c r="I495" s="1" t="s">
        <v>159</v>
      </c>
      <c r="J495">
        <v>86689</v>
      </c>
      <c r="K495">
        <v>0</v>
      </c>
      <c r="L495">
        <v>0</v>
      </c>
      <c r="M495">
        <v>0</v>
      </c>
      <c r="N495">
        <v>3</v>
      </c>
      <c r="O495" s="1" t="s">
        <v>32</v>
      </c>
      <c r="P495">
        <v>1</v>
      </c>
      <c r="Q495">
        <v>0</v>
      </c>
      <c r="R495">
        <v>1</v>
      </c>
      <c r="S495">
        <v>0</v>
      </c>
      <c r="T495">
        <v>0</v>
      </c>
      <c r="U495">
        <f>IF(openpolis_patrimoni_trasparenti_anno_2014[[#This Row],[totale_730_dichiarante]]&lt;&gt;0,LOG10(openpolis_patrimoni_trasparenti_anno_2014[[#This Row],[totale_730_dichiarante]]), 0)</f>
        <v>4.9379639931811585</v>
      </c>
    </row>
    <row r="496" spans="1:21" x14ac:dyDescent="0.3">
      <c r="A496">
        <v>275049</v>
      </c>
      <c r="B496" s="1" t="s">
        <v>346</v>
      </c>
      <c r="C496" s="1" t="s">
        <v>875</v>
      </c>
      <c r="D496" s="2">
        <v>26100</v>
      </c>
      <c r="E496" s="1" t="s">
        <v>41</v>
      </c>
      <c r="F496" s="1" t="s">
        <v>30</v>
      </c>
      <c r="G496" s="1" t="s">
        <v>24</v>
      </c>
      <c r="H496" s="1" t="s">
        <v>24</v>
      </c>
      <c r="I496" s="1" t="s">
        <v>31</v>
      </c>
      <c r="J496">
        <v>104457</v>
      </c>
      <c r="K496">
        <v>0</v>
      </c>
      <c r="L496">
        <v>0</v>
      </c>
      <c r="M496">
        <v>0</v>
      </c>
      <c r="N496">
        <v>2</v>
      </c>
      <c r="O496" s="1" t="s">
        <v>43</v>
      </c>
      <c r="P496">
        <v>2</v>
      </c>
      <c r="Q496">
        <v>0</v>
      </c>
      <c r="R496">
        <v>1</v>
      </c>
      <c r="S496">
        <v>0</v>
      </c>
      <c r="T496">
        <v>0</v>
      </c>
      <c r="U496">
        <f>IF(openpolis_patrimoni_trasparenti_anno_2014[[#This Row],[totale_730_dichiarante]]&lt;&gt;0,LOG10(openpolis_patrimoni_trasparenti_anno_2014[[#This Row],[totale_730_dichiarante]]), 0)</f>
        <v>5.0189375487635166</v>
      </c>
    </row>
    <row r="497" spans="1:21" x14ac:dyDescent="0.3">
      <c r="A497">
        <v>686008</v>
      </c>
      <c r="B497" s="1" t="s">
        <v>265</v>
      </c>
      <c r="C497" s="1" t="s">
        <v>880</v>
      </c>
      <c r="D497" s="2">
        <v>24472</v>
      </c>
      <c r="E497" s="1" t="s">
        <v>41</v>
      </c>
      <c r="F497" s="1" t="s">
        <v>30</v>
      </c>
      <c r="G497" s="1" t="s">
        <v>25</v>
      </c>
      <c r="H497" s="1" t="s">
        <v>68</v>
      </c>
      <c r="I497" s="1" t="s">
        <v>118</v>
      </c>
      <c r="J497">
        <v>985434</v>
      </c>
      <c r="K497">
        <v>0</v>
      </c>
      <c r="L497">
        <v>0</v>
      </c>
      <c r="M497">
        <v>0</v>
      </c>
      <c r="N497">
        <v>2</v>
      </c>
      <c r="O497" s="1" t="s">
        <v>43</v>
      </c>
      <c r="P497">
        <v>9</v>
      </c>
      <c r="Q497">
        <v>1</v>
      </c>
      <c r="R497">
        <v>1</v>
      </c>
      <c r="S497">
        <v>3</v>
      </c>
      <c r="T497">
        <v>0</v>
      </c>
      <c r="U497">
        <f>IF(openpolis_patrimoni_trasparenti_anno_2014[[#This Row],[totale_730_dichiarante]]&lt;&gt;0,LOG10(openpolis_patrimoni_trasparenti_anno_2014[[#This Row],[totale_730_dichiarante]]), 0)</f>
        <v>5.993627542470704</v>
      </c>
    </row>
    <row r="498" spans="1:21" x14ac:dyDescent="0.3">
      <c r="A498">
        <v>687372</v>
      </c>
      <c r="B498" s="1" t="s">
        <v>646</v>
      </c>
      <c r="C498" s="1" t="s">
        <v>881</v>
      </c>
      <c r="D498" s="2">
        <v>26450</v>
      </c>
      <c r="E498" s="1" t="s">
        <v>63</v>
      </c>
      <c r="F498" s="1" t="s">
        <v>30</v>
      </c>
      <c r="G498" s="1" t="s">
        <v>24</v>
      </c>
      <c r="H498" s="1" t="s">
        <v>24</v>
      </c>
      <c r="I498" s="1" t="s">
        <v>200</v>
      </c>
      <c r="J498">
        <v>81422</v>
      </c>
      <c r="K498">
        <v>0</v>
      </c>
      <c r="L498">
        <v>0</v>
      </c>
      <c r="M498">
        <v>0</v>
      </c>
      <c r="N498">
        <v>3</v>
      </c>
      <c r="O498" s="1" t="s">
        <v>32</v>
      </c>
      <c r="P498">
        <v>1</v>
      </c>
      <c r="Q498">
        <v>0</v>
      </c>
      <c r="R498">
        <v>1</v>
      </c>
      <c r="S498">
        <v>0</v>
      </c>
      <c r="T498">
        <v>1</v>
      </c>
      <c r="U498">
        <f>IF(openpolis_patrimoni_trasparenti_anno_2014[[#This Row],[totale_730_dichiarante]]&lt;&gt;0,LOG10(openpolis_patrimoni_trasparenti_anno_2014[[#This Row],[totale_730_dichiarante]]), 0)</f>
        <v>4.9107417659173178</v>
      </c>
    </row>
    <row r="499" spans="1:21" x14ac:dyDescent="0.3">
      <c r="A499">
        <v>7527</v>
      </c>
      <c r="B499" s="1" t="s">
        <v>99</v>
      </c>
      <c r="C499" s="1" t="s">
        <v>882</v>
      </c>
      <c r="D499" s="2">
        <v>25712</v>
      </c>
      <c r="E499" s="1" t="s">
        <v>22</v>
      </c>
      <c r="F499" s="1" t="s">
        <v>30</v>
      </c>
      <c r="G499" s="1" t="s">
        <v>24</v>
      </c>
      <c r="H499" s="1" t="s">
        <v>24</v>
      </c>
      <c r="I499" s="1" t="s">
        <v>64</v>
      </c>
      <c r="J499">
        <v>105798</v>
      </c>
      <c r="K499">
        <v>0</v>
      </c>
      <c r="L499">
        <v>0</v>
      </c>
      <c r="M499">
        <v>0</v>
      </c>
      <c r="N499">
        <v>3</v>
      </c>
      <c r="O499" s="1" t="s">
        <v>32</v>
      </c>
      <c r="P499">
        <v>0</v>
      </c>
      <c r="Q499">
        <v>0</v>
      </c>
      <c r="R499">
        <v>1</v>
      </c>
      <c r="S499">
        <v>0</v>
      </c>
      <c r="T499">
        <v>0</v>
      </c>
      <c r="U499">
        <f>IF(openpolis_patrimoni_trasparenti_anno_2014[[#This Row],[totale_730_dichiarante]]&lt;&gt;0,LOG10(openpolis_patrimoni_trasparenti_anno_2014[[#This Row],[totale_730_dichiarante]]), 0)</f>
        <v>5.0244774578960136</v>
      </c>
    </row>
    <row r="500" spans="1:21" x14ac:dyDescent="0.3">
      <c r="A500">
        <v>686489</v>
      </c>
      <c r="B500" s="1" t="s">
        <v>317</v>
      </c>
      <c r="C500" s="1" t="s">
        <v>883</v>
      </c>
      <c r="D500" s="2">
        <v>22766</v>
      </c>
      <c r="E500" s="1" t="s">
        <v>35</v>
      </c>
      <c r="F500" s="1" t="s">
        <v>30</v>
      </c>
      <c r="G500" s="1" t="s">
        <v>25</v>
      </c>
      <c r="H500" s="1" t="s">
        <v>68</v>
      </c>
      <c r="I500" s="1" t="s">
        <v>115</v>
      </c>
      <c r="J500">
        <v>147452</v>
      </c>
      <c r="K500">
        <v>0</v>
      </c>
      <c r="L500">
        <v>0</v>
      </c>
      <c r="M500">
        <v>0</v>
      </c>
      <c r="N500">
        <v>3</v>
      </c>
      <c r="O500" s="1" t="s">
        <v>32</v>
      </c>
      <c r="P500">
        <v>20</v>
      </c>
      <c r="Q500">
        <v>2</v>
      </c>
      <c r="R500">
        <v>1</v>
      </c>
      <c r="S500">
        <v>4</v>
      </c>
      <c r="T500">
        <v>6</v>
      </c>
      <c r="U500">
        <f>IF(openpolis_patrimoni_trasparenti_anno_2014[[#This Row],[totale_730_dichiarante]]&lt;&gt;0,LOG10(openpolis_patrimoni_trasparenti_anno_2014[[#This Row],[totale_730_dichiarante]]), 0)</f>
        <v>5.1686506675834636</v>
      </c>
    </row>
    <row r="501" spans="1:21" x14ac:dyDescent="0.3">
      <c r="A501">
        <v>34065</v>
      </c>
      <c r="B501" s="1" t="s">
        <v>217</v>
      </c>
      <c r="C501" s="1" t="s">
        <v>884</v>
      </c>
      <c r="D501" s="2">
        <v>27429</v>
      </c>
      <c r="E501" s="1" t="s">
        <v>29</v>
      </c>
      <c r="F501" s="1" t="s">
        <v>30</v>
      </c>
      <c r="G501" s="1" t="s">
        <v>126</v>
      </c>
      <c r="H501" s="1" t="s">
        <v>54</v>
      </c>
      <c r="I501" s="1" t="s">
        <v>115</v>
      </c>
      <c r="J501">
        <v>91497</v>
      </c>
      <c r="K501">
        <v>0</v>
      </c>
      <c r="L501">
        <v>0</v>
      </c>
      <c r="M501">
        <v>0</v>
      </c>
      <c r="N501">
        <v>2</v>
      </c>
      <c r="O501" s="1" t="s">
        <v>43</v>
      </c>
      <c r="P501">
        <v>2</v>
      </c>
      <c r="Q501">
        <v>0</v>
      </c>
      <c r="R501">
        <v>0</v>
      </c>
      <c r="S501">
        <v>0</v>
      </c>
      <c r="T501">
        <v>0</v>
      </c>
      <c r="U501">
        <f>IF(openpolis_patrimoni_trasparenti_anno_2014[[#This Row],[totale_730_dichiarante]]&lt;&gt;0,LOG10(openpolis_patrimoni_trasparenti_anno_2014[[#This Row],[totale_730_dichiarante]]), 0)</f>
        <v>4.961406854669673</v>
      </c>
    </row>
    <row r="502" spans="1:21" x14ac:dyDescent="0.3">
      <c r="A502">
        <v>721561</v>
      </c>
      <c r="B502" s="1" t="s">
        <v>508</v>
      </c>
      <c r="C502" s="1" t="s">
        <v>885</v>
      </c>
      <c r="D502" s="2">
        <v>20635</v>
      </c>
      <c r="E502" s="1" t="s">
        <v>41</v>
      </c>
      <c r="F502" s="1" t="s">
        <v>30</v>
      </c>
      <c r="G502" s="1" t="s">
        <v>24</v>
      </c>
      <c r="H502" s="1" t="s">
        <v>24</v>
      </c>
      <c r="I502" s="1" t="s">
        <v>115</v>
      </c>
      <c r="J502">
        <v>361506</v>
      </c>
      <c r="K502">
        <v>0</v>
      </c>
      <c r="L502">
        <v>0</v>
      </c>
      <c r="M502">
        <v>0</v>
      </c>
      <c r="N502">
        <v>3</v>
      </c>
      <c r="O502" s="1" t="s">
        <v>61</v>
      </c>
      <c r="P502">
        <v>4</v>
      </c>
      <c r="Q502">
        <v>0</v>
      </c>
      <c r="R502">
        <v>2</v>
      </c>
      <c r="S502">
        <v>0</v>
      </c>
      <c r="T502">
        <v>0</v>
      </c>
      <c r="U502">
        <f>IF(openpolis_patrimoni_trasparenti_anno_2014[[#This Row],[totale_730_dichiarante]]&lt;&gt;0,LOG10(openpolis_patrimoni_trasparenti_anno_2014[[#This Row],[totale_730_dichiarante]]), 0)</f>
        <v>5.5581155097778998</v>
      </c>
    </row>
    <row r="503" spans="1:21" x14ac:dyDescent="0.3">
      <c r="A503">
        <v>686294</v>
      </c>
      <c r="B503" s="1" t="s">
        <v>886</v>
      </c>
      <c r="C503" s="1" t="s">
        <v>887</v>
      </c>
      <c r="D503" s="2">
        <v>25800</v>
      </c>
      <c r="E503" s="1" t="s">
        <v>29</v>
      </c>
      <c r="F503" s="1" t="s">
        <v>30</v>
      </c>
      <c r="G503" s="1" t="s">
        <v>24</v>
      </c>
      <c r="H503" s="1" t="s">
        <v>24</v>
      </c>
      <c r="I503" s="1" t="s">
        <v>64</v>
      </c>
      <c r="J503">
        <v>172396</v>
      </c>
      <c r="K503">
        <v>72450</v>
      </c>
      <c r="L503">
        <v>0</v>
      </c>
      <c r="M503">
        <v>0</v>
      </c>
      <c r="N503">
        <v>2</v>
      </c>
      <c r="O503" s="1" t="s">
        <v>43</v>
      </c>
      <c r="P503">
        <v>1</v>
      </c>
      <c r="Q503">
        <v>0</v>
      </c>
      <c r="R503">
        <v>0</v>
      </c>
      <c r="S503">
        <v>0</v>
      </c>
      <c r="T503">
        <v>0</v>
      </c>
      <c r="U503">
        <f>IF(openpolis_patrimoni_trasparenti_anno_2014[[#This Row],[totale_730_dichiarante]]&lt;&gt;0,LOG10(openpolis_patrimoni_trasparenti_anno_2014[[#This Row],[totale_730_dichiarante]]), 0)</f>
        <v>5.236527184933701</v>
      </c>
    </row>
    <row r="504" spans="1:21" x14ac:dyDescent="0.3">
      <c r="A504">
        <v>686662</v>
      </c>
      <c r="B504" s="1" t="s">
        <v>329</v>
      </c>
      <c r="C504" s="1" t="s">
        <v>888</v>
      </c>
      <c r="D504" s="2">
        <v>30124</v>
      </c>
      <c r="E504" s="1" t="s">
        <v>29</v>
      </c>
      <c r="F504" s="1" t="s">
        <v>30</v>
      </c>
      <c r="G504" s="1" t="s">
        <v>102</v>
      </c>
      <c r="H504" s="1" t="s">
        <v>102</v>
      </c>
      <c r="I504" s="1" t="s">
        <v>38</v>
      </c>
      <c r="J504">
        <v>81322</v>
      </c>
      <c r="K504">
        <v>0</v>
      </c>
      <c r="L504">
        <v>0</v>
      </c>
      <c r="M504">
        <v>0</v>
      </c>
      <c r="N504">
        <v>2</v>
      </c>
      <c r="O504" s="1" t="s">
        <v>43</v>
      </c>
      <c r="P504">
        <v>0</v>
      </c>
      <c r="Q504">
        <v>2</v>
      </c>
      <c r="R504">
        <v>1</v>
      </c>
      <c r="S504">
        <v>0</v>
      </c>
      <c r="T504">
        <v>0</v>
      </c>
      <c r="U504">
        <f>IF(openpolis_patrimoni_trasparenti_anno_2014[[#This Row],[totale_730_dichiarante]]&lt;&gt;0,LOG10(openpolis_patrimoni_trasparenti_anno_2014[[#This Row],[totale_730_dichiarante]]), 0)</f>
        <v>4.9102080509581656</v>
      </c>
    </row>
    <row r="505" spans="1:21" x14ac:dyDescent="0.3">
      <c r="A505">
        <v>546</v>
      </c>
      <c r="B505" s="1" t="s">
        <v>217</v>
      </c>
      <c r="C505" s="1" t="s">
        <v>889</v>
      </c>
      <c r="D505" s="2">
        <v>15697</v>
      </c>
      <c r="E505" s="1" t="s">
        <v>29</v>
      </c>
      <c r="F505" s="1" t="s">
        <v>30</v>
      </c>
      <c r="G505" s="1" t="s">
        <v>36</v>
      </c>
      <c r="H505" s="1" t="s">
        <v>37</v>
      </c>
      <c r="I505" s="1" t="s">
        <v>38</v>
      </c>
      <c r="J505">
        <v>180564</v>
      </c>
      <c r="K505">
        <v>0</v>
      </c>
      <c r="L505">
        <v>0</v>
      </c>
      <c r="M505">
        <v>0</v>
      </c>
      <c r="N505">
        <v>3</v>
      </c>
      <c r="O505" s="1" t="s">
        <v>32</v>
      </c>
      <c r="P505">
        <v>2</v>
      </c>
      <c r="Q505">
        <v>0</v>
      </c>
      <c r="R505">
        <v>2</v>
      </c>
      <c r="S505">
        <v>9</v>
      </c>
      <c r="T505">
        <v>0</v>
      </c>
      <c r="U505">
        <f>IF(openpolis_patrimoni_trasparenti_anno_2014[[#This Row],[totale_730_dichiarante]]&lt;&gt;0,LOG10(openpolis_patrimoni_trasparenti_anno_2014[[#This Row],[totale_730_dichiarante]]), 0)</f>
        <v>5.2566311670194494</v>
      </c>
    </row>
    <row r="506" spans="1:21" x14ac:dyDescent="0.3">
      <c r="A506">
        <v>415790</v>
      </c>
      <c r="B506" s="1" t="s">
        <v>453</v>
      </c>
      <c r="C506" s="1" t="s">
        <v>443</v>
      </c>
      <c r="D506" s="2">
        <v>23360</v>
      </c>
      <c r="E506" s="1" t="s">
        <v>49</v>
      </c>
      <c r="F506" s="1" t="s">
        <v>30</v>
      </c>
      <c r="G506" s="1" t="s">
        <v>24</v>
      </c>
      <c r="H506" s="1" t="s">
        <v>54</v>
      </c>
      <c r="I506" s="1" t="s">
        <v>118</v>
      </c>
      <c r="J506">
        <v>87733</v>
      </c>
      <c r="K506">
        <v>0</v>
      </c>
      <c r="L506">
        <v>0</v>
      </c>
      <c r="M506">
        <v>0</v>
      </c>
      <c r="N506">
        <v>3</v>
      </c>
      <c r="O506" s="1" t="s">
        <v>32</v>
      </c>
      <c r="P506">
        <v>6</v>
      </c>
      <c r="Q506">
        <v>0</v>
      </c>
      <c r="R506">
        <v>2</v>
      </c>
      <c r="S506">
        <v>0</v>
      </c>
      <c r="T506">
        <v>0</v>
      </c>
      <c r="U506">
        <f>IF(openpolis_patrimoni_trasparenti_anno_2014[[#This Row],[totale_730_dichiarante]]&lt;&gt;0,LOG10(openpolis_patrimoni_trasparenti_anno_2014[[#This Row],[totale_730_dichiarante]]), 0)</f>
        <v>4.9431629801640984</v>
      </c>
    </row>
    <row r="507" spans="1:21" x14ac:dyDescent="0.3">
      <c r="A507">
        <v>396</v>
      </c>
      <c r="B507" s="1" t="s">
        <v>346</v>
      </c>
      <c r="C507" s="1" t="s">
        <v>890</v>
      </c>
      <c r="D507" s="2">
        <v>21289</v>
      </c>
      <c r="E507" s="1" t="s">
        <v>63</v>
      </c>
      <c r="F507" s="1" t="s">
        <v>30</v>
      </c>
      <c r="G507" s="1" t="s">
        <v>24</v>
      </c>
      <c r="H507" s="1" t="s">
        <v>24</v>
      </c>
      <c r="I507" s="1" t="s">
        <v>496</v>
      </c>
      <c r="J507">
        <v>98471</v>
      </c>
      <c r="K507">
        <v>1282.5</v>
      </c>
      <c r="L507">
        <v>0</v>
      </c>
      <c r="M507">
        <v>0</v>
      </c>
      <c r="N507">
        <v>3</v>
      </c>
      <c r="O507" s="1" t="s">
        <v>90</v>
      </c>
      <c r="P507">
        <v>1</v>
      </c>
      <c r="Q507">
        <v>0</v>
      </c>
      <c r="R507">
        <v>1</v>
      </c>
      <c r="S507">
        <v>3</v>
      </c>
      <c r="T507">
        <v>0</v>
      </c>
      <c r="U507">
        <f>IF(openpolis_patrimoni_trasparenti_anno_2014[[#This Row],[totale_730_dichiarante]]&lt;&gt;0,LOG10(openpolis_patrimoni_trasparenti_anno_2014[[#This Row],[totale_730_dichiarante]]), 0)</f>
        <v>4.9933083483213911</v>
      </c>
    </row>
    <row r="508" spans="1:21" x14ac:dyDescent="0.3">
      <c r="A508">
        <v>543</v>
      </c>
      <c r="B508" s="1" t="s">
        <v>265</v>
      </c>
      <c r="C508" s="1" t="s">
        <v>891</v>
      </c>
      <c r="D508" s="2">
        <v>25077</v>
      </c>
      <c r="E508" s="1" t="s">
        <v>22</v>
      </c>
      <c r="F508" s="1" t="s">
        <v>30</v>
      </c>
      <c r="G508" s="1" t="s">
        <v>24</v>
      </c>
      <c r="H508" s="1" t="s">
        <v>24</v>
      </c>
      <c r="I508" s="1" t="s">
        <v>178</v>
      </c>
      <c r="J508">
        <v>95381</v>
      </c>
      <c r="K508">
        <v>0</v>
      </c>
      <c r="L508">
        <v>0</v>
      </c>
      <c r="M508">
        <v>0</v>
      </c>
      <c r="N508">
        <v>3</v>
      </c>
      <c r="O508" s="1" t="s">
        <v>32</v>
      </c>
      <c r="P508">
        <v>1</v>
      </c>
      <c r="Q508">
        <v>0</v>
      </c>
      <c r="R508">
        <v>3</v>
      </c>
      <c r="S508">
        <v>0</v>
      </c>
      <c r="T508">
        <v>0</v>
      </c>
      <c r="U508">
        <f>IF(openpolis_patrimoni_trasparenti_anno_2014[[#This Row],[totale_730_dichiarante]]&lt;&gt;0,LOG10(openpolis_patrimoni_trasparenti_anno_2014[[#This Row],[totale_730_dichiarante]]), 0)</f>
        <v>4.979461871381611</v>
      </c>
    </row>
    <row r="509" spans="1:21" x14ac:dyDescent="0.3">
      <c r="A509">
        <v>125708</v>
      </c>
      <c r="B509" s="1" t="s">
        <v>892</v>
      </c>
      <c r="C509" s="1" t="s">
        <v>893</v>
      </c>
      <c r="D509" s="2">
        <v>24244</v>
      </c>
      <c r="E509" s="1" t="s">
        <v>22</v>
      </c>
      <c r="F509" s="1" t="s">
        <v>30</v>
      </c>
      <c r="G509" s="1" t="s">
        <v>24</v>
      </c>
      <c r="H509" s="1" t="s">
        <v>24</v>
      </c>
      <c r="I509" s="1" t="s">
        <v>50</v>
      </c>
      <c r="J509">
        <v>83956</v>
      </c>
      <c r="K509">
        <v>0</v>
      </c>
      <c r="L509">
        <v>0</v>
      </c>
      <c r="M509">
        <v>0</v>
      </c>
      <c r="N509">
        <v>3</v>
      </c>
      <c r="O509" s="1" t="s">
        <v>32</v>
      </c>
      <c r="P509">
        <v>3</v>
      </c>
      <c r="Q509">
        <v>0</v>
      </c>
      <c r="R509">
        <v>0</v>
      </c>
      <c r="S509">
        <v>0</v>
      </c>
      <c r="T509">
        <v>0</v>
      </c>
      <c r="U509">
        <f>IF(openpolis_patrimoni_trasparenti_anno_2014[[#This Row],[totale_730_dichiarante]]&lt;&gt;0,LOG10(openpolis_patrimoni_trasparenti_anno_2014[[#This Row],[totale_730_dichiarante]]), 0)</f>
        <v>4.9240517388752272</v>
      </c>
    </row>
    <row r="510" spans="1:21" x14ac:dyDescent="0.3">
      <c r="A510">
        <v>275052</v>
      </c>
      <c r="B510" s="1" t="s">
        <v>894</v>
      </c>
      <c r="C510" s="1" t="s">
        <v>895</v>
      </c>
      <c r="D510" s="2">
        <v>20067</v>
      </c>
      <c r="E510" s="1" t="s">
        <v>307</v>
      </c>
      <c r="F510" s="1" t="s">
        <v>30</v>
      </c>
      <c r="G510" s="1" t="s">
        <v>24</v>
      </c>
      <c r="H510" s="1" t="s">
        <v>24</v>
      </c>
      <c r="I510" s="1" t="s">
        <v>89</v>
      </c>
      <c r="J510">
        <v>96909</v>
      </c>
      <c r="K510">
        <v>31710</v>
      </c>
      <c r="L510">
        <v>0</v>
      </c>
      <c r="M510">
        <v>0</v>
      </c>
      <c r="N510">
        <v>3</v>
      </c>
      <c r="O510" s="1" t="s">
        <v>32</v>
      </c>
      <c r="P510">
        <v>2</v>
      </c>
      <c r="Q510">
        <v>1</v>
      </c>
      <c r="R510">
        <v>1</v>
      </c>
      <c r="S510">
        <v>0</v>
      </c>
      <c r="T510">
        <v>0</v>
      </c>
      <c r="U510">
        <f>IF(openpolis_patrimoni_trasparenti_anno_2014[[#This Row],[totale_730_dichiarante]]&lt;&gt;0,LOG10(openpolis_patrimoni_trasparenti_anno_2014[[#This Row],[totale_730_dichiarante]]), 0)</f>
        <v>4.9863641121264317</v>
      </c>
    </row>
    <row r="511" spans="1:21" x14ac:dyDescent="0.3">
      <c r="A511">
        <v>128890</v>
      </c>
      <c r="B511" s="1" t="s">
        <v>217</v>
      </c>
      <c r="C511" s="1" t="s">
        <v>896</v>
      </c>
      <c r="D511" s="2">
        <v>17516</v>
      </c>
      <c r="E511" s="1" t="s">
        <v>41</v>
      </c>
      <c r="F511" s="1" t="s">
        <v>30</v>
      </c>
      <c r="G511" s="1" t="s">
        <v>36</v>
      </c>
      <c r="H511" s="1" t="s">
        <v>168</v>
      </c>
      <c r="I511" s="1" t="s">
        <v>264</v>
      </c>
      <c r="J511">
        <v>171173</v>
      </c>
      <c r="K511">
        <v>0</v>
      </c>
      <c r="L511">
        <v>0</v>
      </c>
      <c r="M511">
        <v>0</v>
      </c>
      <c r="N511">
        <v>3</v>
      </c>
      <c r="O511" s="1" t="s">
        <v>32</v>
      </c>
      <c r="P511">
        <v>6</v>
      </c>
      <c r="Q511">
        <v>0</v>
      </c>
      <c r="R511">
        <v>0</v>
      </c>
      <c r="S511">
        <v>0</v>
      </c>
      <c r="T511">
        <v>0</v>
      </c>
      <c r="U511">
        <f>IF(openpolis_patrimoni_trasparenti_anno_2014[[#This Row],[totale_730_dichiarante]]&lt;&gt;0,LOG10(openpolis_patrimoni_trasparenti_anno_2014[[#This Row],[totale_730_dichiarante]]), 0)</f>
        <v>5.2334352622350586</v>
      </c>
    </row>
    <row r="512" spans="1:21" x14ac:dyDescent="0.3">
      <c r="A512">
        <v>686455</v>
      </c>
      <c r="B512" s="1" t="s">
        <v>608</v>
      </c>
      <c r="C512" s="1" t="s">
        <v>766</v>
      </c>
      <c r="D512" s="2">
        <v>28292</v>
      </c>
      <c r="E512" s="1" t="s">
        <v>29</v>
      </c>
      <c r="F512" s="1" t="s">
        <v>30</v>
      </c>
      <c r="G512" s="1" t="s">
        <v>24</v>
      </c>
      <c r="H512" s="1" t="s">
        <v>24</v>
      </c>
      <c r="I512" s="1" t="s">
        <v>115</v>
      </c>
      <c r="J512">
        <v>85354</v>
      </c>
      <c r="K512">
        <v>0</v>
      </c>
      <c r="L512">
        <v>0</v>
      </c>
      <c r="M512">
        <v>0</v>
      </c>
      <c r="N512">
        <v>3</v>
      </c>
      <c r="O512" s="1" t="s">
        <v>32</v>
      </c>
      <c r="P512">
        <v>0</v>
      </c>
      <c r="Q512">
        <v>0</v>
      </c>
      <c r="R512">
        <v>1</v>
      </c>
      <c r="S512">
        <v>0</v>
      </c>
      <c r="T512">
        <v>0</v>
      </c>
      <c r="U512">
        <f>IF(openpolis_patrimoni_trasparenti_anno_2014[[#This Row],[totale_730_dichiarante]]&lt;&gt;0,LOG10(openpolis_patrimoni_trasparenti_anno_2014[[#This Row],[totale_730_dichiarante]]), 0)</f>
        <v>4.9312238785523546</v>
      </c>
    </row>
    <row r="513" spans="1:21" x14ac:dyDescent="0.3">
      <c r="A513">
        <v>537</v>
      </c>
      <c r="B513" s="1" t="s">
        <v>897</v>
      </c>
      <c r="C513" s="1" t="s">
        <v>898</v>
      </c>
      <c r="D513" s="2">
        <v>22028</v>
      </c>
      <c r="E513" s="1" t="s">
        <v>63</v>
      </c>
      <c r="F513" s="1" t="s">
        <v>30</v>
      </c>
      <c r="G513" s="1" t="s">
        <v>24</v>
      </c>
      <c r="H513" s="1" t="s">
        <v>24</v>
      </c>
      <c r="I513" s="1" t="s">
        <v>31</v>
      </c>
      <c r="J513">
        <v>103277</v>
      </c>
      <c r="K513">
        <v>0</v>
      </c>
      <c r="L513">
        <v>0</v>
      </c>
      <c r="M513">
        <v>0</v>
      </c>
      <c r="N513">
        <v>3</v>
      </c>
      <c r="O513" s="1" t="s">
        <v>32</v>
      </c>
      <c r="P513">
        <v>1</v>
      </c>
      <c r="Q513">
        <v>1</v>
      </c>
      <c r="R513">
        <v>1</v>
      </c>
      <c r="S513">
        <v>0</v>
      </c>
      <c r="T513">
        <v>0</v>
      </c>
      <c r="U513">
        <f>IF(openpolis_patrimoni_trasparenti_anno_2014[[#This Row],[totale_730_dichiarante]]&lt;&gt;0,LOG10(openpolis_patrimoni_trasparenti_anno_2014[[#This Row],[totale_730_dichiarante]]), 0)</f>
        <v>5.01400361401467</v>
      </c>
    </row>
    <row r="514" spans="1:21" x14ac:dyDescent="0.3">
      <c r="A514">
        <v>685827</v>
      </c>
      <c r="B514" s="1" t="s">
        <v>312</v>
      </c>
      <c r="C514" s="1" t="s">
        <v>899</v>
      </c>
      <c r="D514" s="2">
        <v>21882</v>
      </c>
      <c r="E514" s="1" t="s">
        <v>49</v>
      </c>
      <c r="F514" s="1" t="s">
        <v>30</v>
      </c>
      <c r="G514" s="1" t="s">
        <v>126</v>
      </c>
      <c r="H514" s="1" t="s">
        <v>127</v>
      </c>
      <c r="I514" s="1" t="s">
        <v>178</v>
      </c>
      <c r="J514">
        <v>89566</v>
      </c>
      <c r="K514">
        <v>0</v>
      </c>
      <c r="L514">
        <v>0</v>
      </c>
      <c r="M514">
        <v>0</v>
      </c>
      <c r="N514">
        <v>3</v>
      </c>
      <c r="O514" s="1" t="s">
        <v>32</v>
      </c>
      <c r="P514">
        <v>1</v>
      </c>
      <c r="Q514">
        <v>0</v>
      </c>
      <c r="R514">
        <v>1</v>
      </c>
      <c r="S514">
        <v>0</v>
      </c>
      <c r="T514">
        <v>1</v>
      </c>
      <c r="U514">
        <f>IF(openpolis_patrimoni_trasparenti_anno_2014[[#This Row],[totale_730_dichiarante]]&lt;&gt;0,LOG10(openpolis_patrimoni_trasparenti_anno_2014[[#This Row],[totale_730_dichiarante]]), 0)</f>
        <v>4.9521431791411343</v>
      </c>
    </row>
    <row r="515" spans="1:21" x14ac:dyDescent="0.3">
      <c r="A515">
        <v>535</v>
      </c>
      <c r="B515" s="1" t="s">
        <v>900</v>
      </c>
      <c r="C515" s="1" t="s">
        <v>901</v>
      </c>
      <c r="D515" s="2">
        <v>20842</v>
      </c>
      <c r="E515" s="1" t="s">
        <v>22</v>
      </c>
      <c r="F515" s="1" t="s">
        <v>30</v>
      </c>
      <c r="G515" s="1" t="s">
        <v>24</v>
      </c>
      <c r="H515" s="1" t="s">
        <v>24</v>
      </c>
      <c r="I515" s="1" t="s">
        <v>111</v>
      </c>
      <c r="J515">
        <v>95397</v>
      </c>
      <c r="K515">
        <v>0</v>
      </c>
      <c r="L515">
        <v>0</v>
      </c>
      <c r="M515">
        <v>0</v>
      </c>
      <c r="N515">
        <v>3</v>
      </c>
      <c r="O515" s="1" t="s">
        <v>32</v>
      </c>
      <c r="P515">
        <v>3</v>
      </c>
      <c r="Q515">
        <v>4</v>
      </c>
      <c r="R515">
        <v>2</v>
      </c>
      <c r="S515">
        <v>1</v>
      </c>
      <c r="T515">
        <v>0</v>
      </c>
      <c r="U515">
        <f>IF(openpolis_patrimoni_trasparenti_anno_2014[[#This Row],[totale_730_dichiarante]]&lt;&gt;0,LOG10(openpolis_patrimoni_trasparenti_anno_2014[[#This Row],[totale_730_dichiarante]]), 0)</f>
        <v>4.9795347174301776</v>
      </c>
    </row>
    <row r="516" spans="1:21" x14ac:dyDescent="0.3">
      <c r="A516">
        <v>165485</v>
      </c>
      <c r="B516" s="1" t="s">
        <v>346</v>
      </c>
      <c r="C516" s="1" t="s">
        <v>902</v>
      </c>
      <c r="D516" s="2">
        <v>20890</v>
      </c>
      <c r="E516" s="1" t="s">
        <v>429</v>
      </c>
      <c r="F516" s="1" t="s">
        <v>30</v>
      </c>
      <c r="G516" s="1" t="s">
        <v>53</v>
      </c>
      <c r="H516" s="1" t="s">
        <v>54</v>
      </c>
      <c r="I516" s="1" t="s">
        <v>178</v>
      </c>
      <c r="J516">
        <v>111808</v>
      </c>
      <c r="K516">
        <v>0</v>
      </c>
      <c r="L516">
        <v>0</v>
      </c>
      <c r="M516">
        <v>0</v>
      </c>
      <c r="N516">
        <v>3</v>
      </c>
      <c r="O516" s="1" t="s">
        <v>32</v>
      </c>
      <c r="P516">
        <v>1</v>
      </c>
      <c r="Q516">
        <v>0</v>
      </c>
      <c r="R516">
        <v>0</v>
      </c>
      <c r="S516">
        <v>0</v>
      </c>
      <c r="T516">
        <v>0</v>
      </c>
      <c r="U516">
        <f>IF(openpolis_patrimoni_trasparenti_anno_2014[[#This Row],[totale_730_dichiarante]]&lt;&gt;0,LOG10(openpolis_patrimoni_trasparenti_anno_2014[[#This Row],[totale_730_dichiarante]]), 0)</f>
        <v>5.0484728789668178</v>
      </c>
    </row>
    <row r="517" spans="1:21" x14ac:dyDescent="0.3">
      <c r="A517">
        <v>686417</v>
      </c>
      <c r="B517" s="1" t="s">
        <v>346</v>
      </c>
      <c r="C517" s="1" t="s">
        <v>903</v>
      </c>
      <c r="D517" s="2">
        <v>28271</v>
      </c>
      <c r="E517" s="1" t="s">
        <v>22</v>
      </c>
      <c r="F517" s="1" t="s">
        <v>30</v>
      </c>
      <c r="G517" s="1" t="s">
        <v>24</v>
      </c>
      <c r="H517" s="1" t="s">
        <v>24</v>
      </c>
      <c r="I517" s="1" t="s">
        <v>58</v>
      </c>
      <c r="J517">
        <v>84340</v>
      </c>
      <c r="K517">
        <v>0</v>
      </c>
      <c r="L517">
        <v>0</v>
      </c>
      <c r="M517">
        <v>0</v>
      </c>
      <c r="N517">
        <v>3</v>
      </c>
      <c r="O517" s="1" t="s">
        <v>32</v>
      </c>
      <c r="P517">
        <v>0</v>
      </c>
      <c r="Q517">
        <v>0</v>
      </c>
      <c r="R517">
        <v>1</v>
      </c>
      <c r="S517">
        <v>0</v>
      </c>
      <c r="T517">
        <v>0</v>
      </c>
      <c r="U517">
        <f>IF(openpolis_patrimoni_trasparenti_anno_2014[[#This Row],[totale_730_dichiarante]]&lt;&gt;0,LOG10(openpolis_patrimoni_trasparenti_anno_2014[[#This Row],[totale_730_dichiarante]]), 0)</f>
        <v>4.9260335966788444</v>
      </c>
    </row>
    <row r="518" spans="1:21" x14ac:dyDescent="0.3">
      <c r="A518">
        <v>504405</v>
      </c>
      <c r="B518" s="1" t="s">
        <v>904</v>
      </c>
      <c r="C518" s="1" t="s">
        <v>905</v>
      </c>
      <c r="D518" s="2">
        <v>28353</v>
      </c>
      <c r="E518" s="1" t="s">
        <v>136</v>
      </c>
      <c r="F518" s="1" t="s">
        <v>30</v>
      </c>
      <c r="G518" s="1" t="s">
        <v>24</v>
      </c>
      <c r="H518" s="1" t="s">
        <v>24</v>
      </c>
      <c r="I518" s="1" t="s">
        <v>58</v>
      </c>
      <c r="J518">
        <v>86032</v>
      </c>
      <c r="K518">
        <v>0</v>
      </c>
      <c r="L518">
        <v>0</v>
      </c>
      <c r="M518">
        <v>0</v>
      </c>
      <c r="N518">
        <v>3</v>
      </c>
      <c r="O518" s="1" t="s">
        <v>32</v>
      </c>
      <c r="P518">
        <v>0</v>
      </c>
      <c r="Q518">
        <v>0</v>
      </c>
      <c r="R518">
        <v>1</v>
      </c>
      <c r="S518">
        <v>0</v>
      </c>
      <c r="T518">
        <v>0</v>
      </c>
      <c r="U518">
        <f>IF(openpolis_patrimoni_trasparenti_anno_2014[[#This Row],[totale_730_dichiarante]]&lt;&gt;0,LOG10(openpolis_patrimoni_trasparenti_anno_2014[[#This Row],[totale_730_dichiarante]]), 0)</f>
        <v>4.9346600191330436</v>
      </c>
    </row>
    <row r="519" spans="1:21" x14ac:dyDescent="0.3">
      <c r="A519">
        <v>686539</v>
      </c>
      <c r="B519" s="1" t="s">
        <v>906</v>
      </c>
      <c r="C519" s="1" t="s">
        <v>907</v>
      </c>
      <c r="D519" s="2">
        <v>28728</v>
      </c>
      <c r="E519" s="1" t="s">
        <v>140</v>
      </c>
      <c r="F519" s="1" t="s">
        <v>30</v>
      </c>
      <c r="G519" s="1" t="s">
        <v>102</v>
      </c>
      <c r="H519" s="1" t="s">
        <v>102</v>
      </c>
      <c r="I519" s="1" t="s">
        <v>169</v>
      </c>
      <c r="J519">
        <v>86466</v>
      </c>
      <c r="K519">
        <v>0</v>
      </c>
      <c r="L519">
        <v>0</v>
      </c>
      <c r="M519">
        <v>0</v>
      </c>
      <c r="N519">
        <v>3</v>
      </c>
      <c r="O519" s="1" t="s">
        <v>32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f>IF(openpolis_patrimoni_trasparenti_anno_2014[[#This Row],[totale_730_dichiarante]]&lt;&gt;0,LOG10(openpolis_patrimoni_trasparenti_anno_2014[[#This Row],[totale_730_dichiarante]]), 0)</f>
        <v>4.9368453685615048</v>
      </c>
    </row>
    <row r="520" spans="1:21" x14ac:dyDescent="0.3">
      <c r="A520">
        <v>686183</v>
      </c>
      <c r="B520" s="1" t="s">
        <v>908</v>
      </c>
      <c r="C520" s="1" t="s">
        <v>909</v>
      </c>
      <c r="D520" s="2">
        <v>26832</v>
      </c>
      <c r="E520" s="1" t="s">
        <v>156</v>
      </c>
      <c r="F520" s="1" t="s">
        <v>30</v>
      </c>
      <c r="G520" s="1" t="s">
        <v>24</v>
      </c>
      <c r="H520" s="1" t="s">
        <v>24</v>
      </c>
      <c r="I520" s="1" t="s">
        <v>264</v>
      </c>
      <c r="J520">
        <v>78230</v>
      </c>
      <c r="K520">
        <v>24678</v>
      </c>
      <c r="L520">
        <v>0</v>
      </c>
      <c r="M520">
        <v>0</v>
      </c>
      <c r="N520">
        <v>3</v>
      </c>
      <c r="O520" s="1" t="s">
        <v>32</v>
      </c>
      <c r="P520">
        <v>3</v>
      </c>
      <c r="Q520">
        <v>0</v>
      </c>
      <c r="R520">
        <v>0</v>
      </c>
      <c r="S520">
        <v>0</v>
      </c>
      <c r="T520">
        <v>0</v>
      </c>
      <c r="U520">
        <f>IF(openpolis_patrimoni_trasparenti_anno_2014[[#This Row],[totale_730_dichiarante]]&lt;&gt;0,LOG10(openpolis_patrimoni_trasparenti_anno_2014[[#This Row],[totale_730_dichiarante]]), 0)</f>
        <v>4.8933733302460247</v>
      </c>
    </row>
    <row r="521" spans="1:21" x14ac:dyDescent="0.3">
      <c r="A521">
        <v>631883</v>
      </c>
      <c r="B521" s="1" t="s">
        <v>910</v>
      </c>
      <c r="C521" s="1" t="s">
        <v>911</v>
      </c>
      <c r="D521" s="2">
        <v>26533</v>
      </c>
      <c r="E521" s="1" t="s">
        <v>29</v>
      </c>
      <c r="F521" s="1" t="s">
        <v>30</v>
      </c>
      <c r="G521" s="1" t="s">
        <v>24</v>
      </c>
      <c r="H521" s="1" t="s">
        <v>24</v>
      </c>
      <c r="I521" s="1" t="s">
        <v>64</v>
      </c>
      <c r="J521">
        <v>78822</v>
      </c>
      <c r="K521">
        <v>0</v>
      </c>
      <c r="L521">
        <v>0</v>
      </c>
      <c r="M521">
        <v>0</v>
      </c>
      <c r="N521">
        <v>3</v>
      </c>
      <c r="O521" s="1" t="s">
        <v>32</v>
      </c>
      <c r="P521">
        <v>3</v>
      </c>
      <c r="Q521">
        <v>0</v>
      </c>
      <c r="R521">
        <v>0</v>
      </c>
      <c r="S521">
        <v>0</v>
      </c>
      <c r="T521">
        <v>0</v>
      </c>
      <c r="U521">
        <f>IF(openpolis_patrimoni_trasparenti_anno_2014[[#This Row],[totale_730_dichiarante]]&lt;&gt;0,LOG10(openpolis_patrimoni_trasparenti_anno_2014[[#This Row],[totale_730_dichiarante]]), 0)</f>
        <v>4.8966474502954318</v>
      </c>
    </row>
    <row r="522" spans="1:21" x14ac:dyDescent="0.3">
      <c r="A522">
        <v>4818</v>
      </c>
      <c r="B522" s="1" t="s">
        <v>265</v>
      </c>
      <c r="C522" s="1" t="s">
        <v>912</v>
      </c>
      <c r="D522" s="2">
        <v>25534</v>
      </c>
      <c r="E522" s="1" t="s">
        <v>49</v>
      </c>
      <c r="F522" s="1" t="s">
        <v>30</v>
      </c>
      <c r="G522" s="1" t="s">
        <v>24</v>
      </c>
      <c r="H522" s="1" t="s">
        <v>24</v>
      </c>
      <c r="I522" s="1" t="s">
        <v>46</v>
      </c>
      <c r="J522">
        <v>99422</v>
      </c>
      <c r="K522">
        <v>0</v>
      </c>
      <c r="L522">
        <v>0</v>
      </c>
      <c r="M522">
        <v>0</v>
      </c>
      <c r="N522">
        <v>3</v>
      </c>
      <c r="O522" s="1" t="s">
        <v>32</v>
      </c>
      <c r="P522">
        <v>1</v>
      </c>
      <c r="Q522">
        <v>0</v>
      </c>
      <c r="R522">
        <v>1</v>
      </c>
      <c r="S522">
        <v>0</v>
      </c>
      <c r="T522">
        <v>0</v>
      </c>
      <c r="U522">
        <f>IF(openpolis_patrimoni_trasparenti_anno_2014[[#This Row],[totale_730_dichiarante]]&lt;&gt;0,LOG10(openpolis_patrimoni_trasparenti_anno_2014[[#This Row],[totale_730_dichiarante]]), 0)</f>
        <v>4.9974824952768024</v>
      </c>
    </row>
    <row r="523" spans="1:21" x14ac:dyDescent="0.3">
      <c r="A523">
        <v>168561</v>
      </c>
      <c r="B523" s="1" t="s">
        <v>913</v>
      </c>
      <c r="C523" s="1" t="s">
        <v>914</v>
      </c>
      <c r="D523" s="2">
        <v>19762</v>
      </c>
      <c r="E523" s="1" t="s">
        <v>49</v>
      </c>
      <c r="F523" s="1" t="s">
        <v>30</v>
      </c>
      <c r="G523" s="1" t="s">
        <v>24</v>
      </c>
      <c r="H523" s="1" t="s">
        <v>24</v>
      </c>
      <c r="I523" s="1" t="s">
        <v>191</v>
      </c>
      <c r="J523">
        <v>89907</v>
      </c>
      <c r="K523">
        <v>0</v>
      </c>
      <c r="L523">
        <v>0</v>
      </c>
      <c r="M523">
        <v>0</v>
      </c>
      <c r="N523">
        <v>3</v>
      </c>
      <c r="O523" s="1" t="s">
        <v>32</v>
      </c>
      <c r="P523">
        <v>1</v>
      </c>
      <c r="Q523">
        <v>0</v>
      </c>
      <c r="R523">
        <v>1</v>
      </c>
      <c r="S523">
        <v>1</v>
      </c>
      <c r="T523">
        <v>0</v>
      </c>
      <c r="U523">
        <f>IF(openpolis_patrimoni_trasparenti_anno_2014[[#This Row],[totale_730_dichiarante]]&lt;&gt;0,LOG10(openpolis_patrimoni_trasparenti_anno_2014[[#This Row],[totale_730_dichiarante]]), 0)</f>
        <v>4.9537935064498404</v>
      </c>
    </row>
    <row r="524" spans="1:21" x14ac:dyDescent="0.3">
      <c r="A524">
        <v>363415</v>
      </c>
      <c r="B524" s="1" t="s">
        <v>333</v>
      </c>
      <c r="C524" s="1" t="s">
        <v>915</v>
      </c>
      <c r="D524" s="2">
        <v>26149</v>
      </c>
      <c r="E524" s="1" t="s">
        <v>35</v>
      </c>
      <c r="F524" s="1" t="s">
        <v>30</v>
      </c>
      <c r="G524" s="1" t="s">
        <v>25</v>
      </c>
      <c r="H524" s="1" t="s">
        <v>876</v>
      </c>
      <c r="I524" s="1" t="s">
        <v>159</v>
      </c>
      <c r="J524">
        <v>508951</v>
      </c>
      <c r="K524">
        <v>0</v>
      </c>
      <c r="L524">
        <v>0</v>
      </c>
      <c r="M524">
        <v>0</v>
      </c>
      <c r="N524">
        <v>2</v>
      </c>
      <c r="O524" s="1" t="s">
        <v>43</v>
      </c>
      <c r="P524">
        <v>11</v>
      </c>
      <c r="Q524">
        <v>0</v>
      </c>
      <c r="R524">
        <v>2</v>
      </c>
      <c r="S524">
        <v>2</v>
      </c>
      <c r="T524">
        <v>1</v>
      </c>
      <c r="U524">
        <f>IF(openpolis_patrimoni_trasparenti_anno_2014[[#This Row],[totale_730_dichiarante]]&lt;&gt;0,LOG10(openpolis_patrimoni_trasparenti_anno_2014[[#This Row],[totale_730_dichiarante]]), 0)</f>
        <v>5.706675972014593</v>
      </c>
    </row>
    <row r="525" spans="1:21" x14ac:dyDescent="0.3">
      <c r="A525">
        <v>234144</v>
      </c>
      <c r="B525" s="1" t="s">
        <v>776</v>
      </c>
      <c r="C525" s="1" t="s">
        <v>916</v>
      </c>
      <c r="D525" s="2">
        <v>22453</v>
      </c>
      <c r="E525" s="1" t="s">
        <v>41</v>
      </c>
      <c r="F525" s="1" t="s">
        <v>30</v>
      </c>
      <c r="G525" s="1" t="s">
        <v>24</v>
      </c>
      <c r="H525" s="1" t="s">
        <v>24</v>
      </c>
      <c r="I525" s="1" t="s">
        <v>42</v>
      </c>
      <c r="J525">
        <v>84357</v>
      </c>
      <c r="K525">
        <v>0</v>
      </c>
      <c r="L525">
        <v>0</v>
      </c>
      <c r="M525">
        <v>0</v>
      </c>
      <c r="N525">
        <v>2</v>
      </c>
      <c r="O525" s="1" t="s">
        <v>43</v>
      </c>
      <c r="P525">
        <v>1</v>
      </c>
      <c r="Q525">
        <v>0</v>
      </c>
      <c r="R525">
        <v>3</v>
      </c>
      <c r="S525">
        <v>0</v>
      </c>
      <c r="T525">
        <v>0</v>
      </c>
      <c r="U525">
        <f>IF(openpolis_patrimoni_trasparenti_anno_2014[[#This Row],[totale_730_dichiarante]]&lt;&gt;0,LOG10(openpolis_patrimoni_trasparenti_anno_2014[[#This Row],[totale_730_dichiarante]]), 0)</f>
        <v>4.9261211264655911</v>
      </c>
    </row>
    <row r="526" spans="1:21" x14ac:dyDescent="0.3">
      <c r="A526">
        <v>332739</v>
      </c>
      <c r="B526" s="1" t="s">
        <v>917</v>
      </c>
      <c r="C526" s="1" t="s">
        <v>918</v>
      </c>
      <c r="D526" s="2">
        <v>29469</v>
      </c>
      <c r="E526" s="1" t="s">
        <v>156</v>
      </c>
      <c r="F526" s="1" t="s">
        <v>176</v>
      </c>
      <c r="G526" s="1" t="s">
        <v>177</v>
      </c>
      <c r="H526" s="1" t="s">
        <v>25</v>
      </c>
      <c r="I526" s="1" t="s">
        <v>50</v>
      </c>
      <c r="J526">
        <v>100024</v>
      </c>
      <c r="K526">
        <v>0</v>
      </c>
      <c r="L526">
        <v>0</v>
      </c>
      <c r="M526">
        <v>0</v>
      </c>
      <c r="N526">
        <v>3</v>
      </c>
      <c r="O526" s="1" t="s">
        <v>32</v>
      </c>
      <c r="P526">
        <v>4</v>
      </c>
      <c r="Q526">
        <v>0</v>
      </c>
      <c r="R526">
        <v>1</v>
      </c>
      <c r="S526">
        <v>0</v>
      </c>
      <c r="T526">
        <v>0</v>
      </c>
      <c r="U526">
        <f>IF(openpolis_patrimoni_trasparenti_anno_2014[[#This Row],[totale_730_dichiarante]]&lt;&gt;0,LOG10(openpolis_patrimoni_trasparenti_anno_2014[[#This Row],[totale_730_dichiarante]]), 0)</f>
        <v>5.0001042181699766</v>
      </c>
    </row>
    <row r="527" spans="1:21" x14ac:dyDescent="0.3">
      <c r="A527">
        <v>686535</v>
      </c>
      <c r="B527" s="1" t="s">
        <v>545</v>
      </c>
      <c r="C527" s="1" t="s">
        <v>919</v>
      </c>
      <c r="D527" s="2">
        <v>28613</v>
      </c>
      <c r="E527" s="1" t="s">
        <v>29</v>
      </c>
      <c r="F527" s="1" t="s">
        <v>30</v>
      </c>
      <c r="G527" s="1" t="s">
        <v>102</v>
      </c>
      <c r="H527" s="1" t="s">
        <v>102</v>
      </c>
      <c r="I527" s="1" t="s">
        <v>169</v>
      </c>
      <c r="J527">
        <v>85665</v>
      </c>
      <c r="K527">
        <v>0</v>
      </c>
      <c r="L527">
        <v>0</v>
      </c>
      <c r="M527">
        <v>0</v>
      </c>
      <c r="N527">
        <v>3</v>
      </c>
      <c r="O527" s="1" t="s">
        <v>32</v>
      </c>
      <c r="P527">
        <v>0</v>
      </c>
      <c r="Q527">
        <v>0</v>
      </c>
      <c r="R527">
        <v>1</v>
      </c>
      <c r="S527">
        <v>0</v>
      </c>
      <c r="T527">
        <v>0</v>
      </c>
      <c r="U527">
        <f>IF(openpolis_patrimoni_trasparenti_anno_2014[[#This Row],[totale_730_dichiarante]]&lt;&gt;0,LOG10(openpolis_patrimoni_trasparenti_anno_2014[[#This Row],[totale_730_dichiarante]]), 0)</f>
        <v>4.9328034192204528</v>
      </c>
    </row>
    <row r="528" spans="1:21" x14ac:dyDescent="0.3">
      <c r="A528">
        <v>686664</v>
      </c>
      <c r="B528" s="1" t="s">
        <v>920</v>
      </c>
      <c r="C528" s="1" t="s">
        <v>921</v>
      </c>
      <c r="D528" s="2">
        <v>29440</v>
      </c>
      <c r="E528" s="1" t="s">
        <v>114</v>
      </c>
      <c r="F528" s="1" t="s">
        <v>30</v>
      </c>
      <c r="G528" s="1" t="s">
        <v>102</v>
      </c>
      <c r="H528" s="1" t="s">
        <v>102</v>
      </c>
      <c r="I528" s="1" t="s">
        <v>38</v>
      </c>
      <c r="J528">
        <v>78230</v>
      </c>
      <c r="K528">
        <v>0</v>
      </c>
      <c r="L528">
        <v>0</v>
      </c>
      <c r="M528">
        <v>0</v>
      </c>
      <c r="N528">
        <v>3</v>
      </c>
      <c r="O528" s="1" t="s">
        <v>32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f>IF(openpolis_patrimoni_trasparenti_anno_2014[[#This Row],[totale_730_dichiarante]]&lt;&gt;0,LOG10(openpolis_patrimoni_trasparenti_anno_2014[[#This Row],[totale_730_dichiarante]]), 0)</f>
        <v>4.8933733302460247</v>
      </c>
    </row>
    <row r="529" spans="1:21" x14ac:dyDescent="0.3">
      <c r="A529">
        <v>332735</v>
      </c>
      <c r="B529" s="1" t="s">
        <v>59</v>
      </c>
      <c r="C529" s="1" t="s">
        <v>922</v>
      </c>
      <c r="D529" s="2">
        <v>26220</v>
      </c>
      <c r="E529" s="1" t="s">
        <v>63</v>
      </c>
      <c r="F529" s="1" t="s">
        <v>176</v>
      </c>
      <c r="G529" s="1" t="s">
        <v>263</v>
      </c>
      <c r="H529" s="1" t="s">
        <v>25</v>
      </c>
      <c r="I529" s="1" t="s">
        <v>50</v>
      </c>
      <c r="J529">
        <v>98471</v>
      </c>
      <c r="K529">
        <v>0</v>
      </c>
      <c r="L529">
        <v>0</v>
      </c>
      <c r="M529">
        <v>0</v>
      </c>
      <c r="N529">
        <v>3</v>
      </c>
      <c r="O529" s="1" t="s">
        <v>32</v>
      </c>
      <c r="P529">
        <v>0</v>
      </c>
      <c r="Q529">
        <v>0</v>
      </c>
      <c r="R529">
        <v>1</v>
      </c>
      <c r="S529">
        <v>0</v>
      </c>
      <c r="T529">
        <v>0</v>
      </c>
      <c r="U529">
        <f>IF(openpolis_patrimoni_trasparenti_anno_2014[[#This Row],[totale_730_dichiarante]]&lt;&gt;0,LOG10(openpolis_patrimoni_trasparenti_anno_2014[[#This Row],[totale_730_dichiarante]]), 0)</f>
        <v>4.9933083483213911</v>
      </c>
    </row>
    <row r="530" spans="1:21" x14ac:dyDescent="0.3">
      <c r="A530">
        <v>687326</v>
      </c>
      <c r="B530" s="1" t="s">
        <v>378</v>
      </c>
      <c r="C530" s="1" t="s">
        <v>923</v>
      </c>
      <c r="D530" s="2">
        <v>26891</v>
      </c>
      <c r="E530" s="1" t="s">
        <v>49</v>
      </c>
      <c r="F530" s="1" t="s">
        <v>30</v>
      </c>
      <c r="G530" s="1" t="s">
        <v>102</v>
      </c>
      <c r="H530" s="1" t="s">
        <v>102</v>
      </c>
      <c r="I530" s="1" t="s">
        <v>50</v>
      </c>
      <c r="J530">
        <v>83047</v>
      </c>
      <c r="K530">
        <v>0</v>
      </c>
      <c r="L530">
        <v>0</v>
      </c>
      <c r="M530">
        <v>0</v>
      </c>
      <c r="N530">
        <v>3</v>
      </c>
      <c r="O530" s="1" t="s">
        <v>32</v>
      </c>
      <c r="P530">
        <v>0</v>
      </c>
      <c r="Q530">
        <v>0</v>
      </c>
      <c r="R530">
        <v>1</v>
      </c>
      <c r="S530">
        <v>0</v>
      </c>
      <c r="T530">
        <v>0</v>
      </c>
      <c r="U530">
        <f>IF(openpolis_patrimoni_trasparenti_anno_2014[[#This Row],[totale_730_dichiarante]]&lt;&gt;0,LOG10(openpolis_patrimoni_trasparenti_anno_2014[[#This Row],[totale_730_dichiarante]]), 0)</f>
        <v>4.9193239485637141</v>
      </c>
    </row>
    <row r="531" spans="1:21" x14ac:dyDescent="0.3">
      <c r="A531">
        <v>333166</v>
      </c>
      <c r="B531" s="1" t="s">
        <v>924</v>
      </c>
      <c r="C531" s="1" t="s">
        <v>462</v>
      </c>
      <c r="D531" s="2">
        <v>19904</v>
      </c>
      <c r="E531" s="1" t="s">
        <v>41</v>
      </c>
      <c r="F531" s="1" t="s">
        <v>30</v>
      </c>
      <c r="G531" s="1" t="s">
        <v>36</v>
      </c>
      <c r="H531" s="1" t="s">
        <v>37</v>
      </c>
      <c r="I531" s="1" t="s">
        <v>55</v>
      </c>
      <c r="J531">
        <v>907893</v>
      </c>
      <c r="K531">
        <v>0</v>
      </c>
      <c r="L531">
        <v>0</v>
      </c>
      <c r="M531">
        <v>0</v>
      </c>
      <c r="N531">
        <v>3</v>
      </c>
      <c r="O531" s="1" t="s">
        <v>32</v>
      </c>
      <c r="P531">
        <v>5</v>
      </c>
      <c r="Q531">
        <v>1</v>
      </c>
      <c r="R531">
        <v>2</v>
      </c>
      <c r="S531">
        <v>2</v>
      </c>
      <c r="T531">
        <v>0</v>
      </c>
      <c r="U531">
        <f>IF(openpolis_patrimoni_trasparenti_anno_2014[[#This Row],[totale_730_dichiarante]]&lt;&gt;0,LOG10(openpolis_patrimoni_trasparenti_anno_2014[[#This Row],[totale_730_dichiarante]]), 0)</f>
        <v>5.9580346676314431</v>
      </c>
    </row>
    <row r="532" spans="1:21" x14ac:dyDescent="0.3">
      <c r="A532">
        <v>280046</v>
      </c>
      <c r="B532" s="1" t="s">
        <v>138</v>
      </c>
      <c r="C532" s="1" t="s">
        <v>925</v>
      </c>
      <c r="D532" s="2">
        <v>28349</v>
      </c>
      <c r="E532" s="1" t="s">
        <v>49</v>
      </c>
      <c r="F532" s="1" t="s">
        <v>30</v>
      </c>
      <c r="G532" s="1" t="s">
        <v>24</v>
      </c>
      <c r="H532" s="1" t="s">
        <v>24</v>
      </c>
      <c r="I532" s="1" t="s">
        <v>58</v>
      </c>
      <c r="J532">
        <v>78254</v>
      </c>
      <c r="K532">
        <v>0</v>
      </c>
      <c r="L532">
        <v>0</v>
      </c>
      <c r="M532">
        <v>0</v>
      </c>
      <c r="N532">
        <v>3</v>
      </c>
      <c r="O532" s="1" t="s">
        <v>32</v>
      </c>
      <c r="P532">
        <v>0</v>
      </c>
      <c r="Q532">
        <v>0</v>
      </c>
      <c r="R532">
        <v>1</v>
      </c>
      <c r="S532">
        <v>0</v>
      </c>
      <c r="T532">
        <v>0</v>
      </c>
      <c r="U532">
        <f>IF(openpolis_patrimoni_trasparenti_anno_2014[[#This Row],[totale_730_dichiarante]]&lt;&gt;0,LOG10(openpolis_patrimoni_trasparenti_anno_2014[[#This Row],[totale_730_dichiarante]]), 0)</f>
        <v>4.8935065460079867</v>
      </c>
    </row>
    <row r="533" spans="1:21" x14ac:dyDescent="0.3">
      <c r="A533">
        <v>686315</v>
      </c>
      <c r="B533" s="1" t="s">
        <v>926</v>
      </c>
      <c r="C533" s="1" t="s">
        <v>927</v>
      </c>
      <c r="D533" s="2">
        <v>18123</v>
      </c>
      <c r="E533" s="1" t="s">
        <v>22</v>
      </c>
      <c r="F533" s="1" t="s">
        <v>30</v>
      </c>
      <c r="G533" s="1" t="s">
        <v>24</v>
      </c>
      <c r="H533" s="1" t="s">
        <v>54</v>
      </c>
      <c r="I533" s="1" t="s">
        <v>64</v>
      </c>
      <c r="J533">
        <v>116208</v>
      </c>
      <c r="K533">
        <v>0</v>
      </c>
      <c r="L533">
        <v>0</v>
      </c>
      <c r="M533">
        <v>0</v>
      </c>
      <c r="N533">
        <v>3</v>
      </c>
      <c r="O533" s="1" t="s">
        <v>32</v>
      </c>
      <c r="P533">
        <v>2</v>
      </c>
      <c r="Q533">
        <v>2</v>
      </c>
      <c r="R533">
        <v>3</v>
      </c>
      <c r="S533">
        <v>1</v>
      </c>
      <c r="T533">
        <v>1</v>
      </c>
      <c r="U533">
        <f>IF(openpolis_patrimoni_trasparenti_anno_2014[[#This Row],[totale_730_dichiarante]]&lt;&gt;0,LOG10(openpolis_patrimoni_trasparenti_anno_2014[[#This Row],[totale_730_dichiarante]]), 0)</f>
        <v>5.0652360268173204</v>
      </c>
    </row>
    <row r="534" spans="1:21" x14ac:dyDescent="0.3">
      <c r="A534">
        <v>510</v>
      </c>
      <c r="B534" s="1" t="s">
        <v>928</v>
      </c>
      <c r="C534" s="1" t="s">
        <v>929</v>
      </c>
      <c r="D534" s="2">
        <v>20500</v>
      </c>
      <c r="E534" s="1" t="s">
        <v>41</v>
      </c>
      <c r="F534" s="1" t="s">
        <v>30</v>
      </c>
      <c r="G534" s="1" t="s">
        <v>147</v>
      </c>
      <c r="H534" s="1" t="s">
        <v>54</v>
      </c>
      <c r="I534" s="1" t="s">
        <v>38</v>
      </c>
      <c r="J534">
        <v>102448</v>
      </c>
      <c r="K534">
        <v>0</v>
      </c>
      <c r="L534">
        <v>0</v>
      </c>
      <c r="M534">
        <v>0</v>
      </c>
      <c r="N534">
        <v>3</v>
      </c>
      <c r="O534" s="1" t="s">
        <v>32</v>
      </c>
      <c r="P534">
        <v>9</v>
      </c>
      <c r="Q534">
        <v>0</v>
      </c>
      <c r="R534">
        <v>0</v>
      </c>
      <c r="S534">
        <v>0</v>
      </c>
      <c r="T534">
        <v>0</v>
      </c>
      <c r="U534">
        <f>IF(openpolis_patrimoni_trasparenti_anno_2014[[#This Row],[totale_730_dichiarante]]&lt;&gt;0,LOG10(openpolis_patrimoni_trasparenti_anno_2014[[#This Row],[totale_730_dichiarante]]), 0)</f>
        <v>5.0105034844800924</v>
      </c>
    </row>
    <row r="535" spans="1:21" x14ac:dyDescent="0.3">
      <c r="A535">
        <v>685739</v>
      </c>
      <c r="B535" s="1" t="s">
        <v>930</v>
      </c>
      <c r="C535" s="1" t="s">
        <v>468</v>
      </c>
      <c r="D535" s="2">
        <v>31105</v>
      </c>
      <c r="E535" s="1" t="s">
        <v>49</v>
      </c>
      <c r="F535" s="1" t="s">
        <v>30</v>
      </c>
      <c r="G535" s="1" t="s">
        <v>102</v>
      </c>
      <c r="H535" s="1" t="s">
        <v>102</v>
      </c>
      <c r="I535" s="1" t="s">
        <v>393</v>
      </c>
      <c r="J535">
        <v>78229.8</v>
      </c>
      <c r="K535">
        <v>0</v>
      </c>
      <c r="L535">
        <v>0</v>
      </c>
      <c r="M535">
        <v>0</v>
      </c>
      <c r="N535">
        <v>2</v>
      </c>
      <c r="O535" s="1" t="s">
        <v>43</v>
      </c>
      <c r="P535">
        <v>0</v>
      </c>
      <c r="Q535">
        <v>0</v>
      </c>
      <c r="R535">
        <v>0</v>
      </c>
      <c r="S535">
        <v>0</v>
      </c>
      <c r="T535">
        <v>0</v>
      </c>
      <c r="U535">
        <f>IF(openpolis_patrimoni_trasparenti_anno_2014[[#This Row],[totale_730_dichiarante]]&lt;&gt;0,LOG10(openpolis_patrimoni_trasparenti_anno_2014[[#This Row],[totale_730_dichiarante]]), 0)</f>
        <v>4.893372219942977</v>
      </c>
    </row>
    <row r="536" spans="1:21" x14ac:dyDescent="0.3">
      <c r="A536">
        <v>170575</v>
      </c>
      <c r="B536" s="1" t="s">
        <v>732</v>
      </c>
      <c r="C536" s="1" t="s">
        <v>931</v>
      </c>
      <c r="D536" s="2">
        <v>19939</v>
      </c>
      <c r="E536" s="1" t="s">
        <v>35</v>
      </c>
      <c r="F536" s="1" t="s">
        <v>30</v>
      </c>
      <c r="G536" s="1" t="s">
        <v>25</v>
      </c>
      <c r="H536" s="1" t="s">
        <v>68</v>
      </c>
      <c r="I536" s="1" t="s">
        <v>64</v>
      </c>
      <c r="J536">
        <v>402249</v>
      </c>
      <c r="K536">
        <v>0</v>
      </c>
      <c r="L536">
        <v>0</v>
      </c>
      <c r="M536">
        <v>0</v>
      </c>
      <c r="N536">
        <v>3</v>
      </c>
      <c r="O536" s="1" t="s">
        <v>32</v>
      </c>
      <c r="P536">
        <v>4</v>
      </c>
      <c r="Q536">
        <v>6</v>
      </c>
      <c r="R536">
        <v>0</v>
      </c>
      <c r="S536">
        <v>4</v>
      </c>
      <c r="T536">
        <v>4</v>
      </c>
      <c r="U536">
        <f>IF(openpolis_patrimoni_trasparenti_anno_2014[[#This Row],[totale_730_dichiarante]]&lt;&gt;0,LOG10(openpolis_patrimoni_trasparenti_anno_2014[[#This Row],[totale_730_dichiarante]]), 0)</f>
        <v>5.6044949731066254</v>
      </c>
    </row>
    <row r="537" spans="1:21" x14ac:dyDescent="0.3">
      <c r="A537">
        <v>503</v>
      </c>
      <c r="B537" s="1" t="s">
        <v>389</v>
      </c>
      <c r="C537" s="1" t="s">
        <v>932</v>
      </c>
      <c r="D537" s="2">
        <v>24339</v>
      </c>
      <c r="E537" s="1" t="s">
        <v>22</v>
      </c>
      <c r="F537" s="1" t="s">
        <v>30</v>
      </c>
      <c r="G537" s="1" t="s">
        <v>24</v>
      </c>
      <c r="H537" s="1" t="s">
        <v>24</v>
      </c>
      <c r="I537" s="1" t="s">
        <v>58</v>
      </c>
      <c r="J537">
        <v>98471</v>
      </c>
      <c r="K537">
        <v>0</v>
      </c>
      <c r="L537">
        <v>0</v>
      </c>
      <c r="M537">
        <v>0</v>
      </c>
      <c r="N537">
        <v>3</v>
      </c>
      <c r="O537" s="1" t="s">
        <v>32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f>IF(openpolis_patrimoni_trasparenti_anno_2014[[#This Row],[totale_730_dichiarante]]&lt;&gt;0,LOG10(openpolis_patrimoni_trasparenti_anno_2014[[#This Row],[totale_730_dichiarante]]), 0)</f>
        <v>4.9933083483213911</v>
      </c>
    </row>
    <row r="538" spans="1:21" x14ac:dyDescent="0.3">
      <c r="A538">
        <v>14405</v>
      </c>
      <c r="B538" s="1" t="s">
        <v>877</v>
      </c>
      <c r="C538" s="1" t="s">
        <v>933</v>
      </c>
      <c r="D538" s="2">
        <v>28186</v>
      </c>
      <c r="E538" s="1" t="s">
        <v>22</v>
      </c>
      <c r="F538" s="1" t="s">
        <v>30</v>
      </c>
      <c r="G538" s="1" t="s">
        <v>126</v>
      </c>
      <c r="H538" s="1" t="s">
        <v>24</v>
      </c>
      <c r="I538" s="1" t="s">
        <v>194</v>
      </c>
      <c r="J538">
        <v>81355</v>
      </c>
      <c r="K538">
        <v>0</v>
      </c>
      <c r="L538">
        <v>0</v>
      </c>
      <c r="M538">
        <v>0</v>
      </c>
      <c r="N538">
        <v>3</v>
      </c>
      <c r="O538" s="1" t="s">
        <v>32</v>
      </c>
      <c r="P538">
        <v>4</v>
      </c>
      <c r="Q538">
        <v>2</v>
      </c>
      <c r="R538">
        <v>1</v>
      </c>
      <c r="S538">
        <v>0</v>
      </c>
      <c r="T538">
        <v>0</v>
      </c>
      <c r="U538">
        <f>IF(openpolis_patrimoni_trasparenti_anno_2014[[#This Row],[totale_730_dichiarante]]&lt;&gt;0,LOG10(openpolis_patrimoni_trasparenti_anno_2014[[#This Row],[totale_730_dichiarante]]), 0)</f>
        <v>4.910384249413994</v>
      </c>
    </row>
    <row r="539" spans="1:21" x14ac:dyDescent="0.3">
      <c r="A539">
        <v>686558</v>
      </c>
      <c r="B539" s="1" t="s">
        <v>84</v>
      </c>
      <c r="C539" s="1" t="s">
        <v>934</v>
      </c>
      <c r="D539" s="2">
        <v>22106</v>
      </c>
      <c r="E539" s="1" t="s">
        <v>29</v>
      </c>
      <c r="F539" s="1" t="s">
        <v>30</v>
      </c>
      <c r="G539" s="1" t="s">
        <v>24</v>
      </c>
      <c r="H539" s="1" t="s">
        <v>24</v>
      </c>
      <c r="I539" s="1" t="s">
        <v>38</v>
      </c>
      <c r="J539">
        <v>176319</v>
      </c>
      <c r="K539">
        <v>0</v>
      </c>
      <c r="L539">
        <v>0</v>
      </c>
      <c r="M539">
        <v>0</v>
      </c>
      <c r="N539">
        <v>3</v>
      </c>
      <c r="O539" s="1" t="s">
        <v>32</v>
      </c>
      <c r="P539">
        <v>7</v>
      </c>
      <c r="Q539">
        <v>2</v>
      </c>
      <c r="R539">
        <v>2</v>
      </c>
      <c r="S539">
        <v>0</v>
      </c>
      <c r="T539">
        <v>0</v>
      </c>
      <c r="U539">
        <f>IF(openpolis_patrimoni_trasparenti_anno_2014[[#This Row],[totale_730_dichiarante]]&lt;&gt;0,LOG10(openpolis_patrimoni_trasparenti_anno_2014[[#This Row],[totale_730_dichiarante]]), 0)</f>
        <v>5.2462991140607933</v>
      </c>
    </row>
    <row r="540" spans="1:21" x14ac:dyDescent="0.3">
      <c r="A540">
        <v>429053</v>
      </c>
      <c r="B540" s="1" t="s">
        <v>935</v>
      </c>
      <c r="C540" s="1" t="s">
        <v>936</v>
      </c>
      <c r="D540" s="2">
        <v>32182</v>
      </c>
      <c r="E540" s="1" t="s">
        <v>114</v>
      </c>
      <c r="F540" s="1" t="s">
        <v>30</v>
      </c>
      <c r="G540" s="1" t="s">
        <v>24</v>
      </c>
      <c r="H540" s="1" t="s">
        <v>24</v>
      </c>
      <c r="I540" s="1" t="s">
        <v>111</v>
      </c>
      <c r="J540">
        <v>78588</v>
      </c>
      <c r="K540">
        <v>0</v>
      </c>
      <c r="L540">
        <v>0</v>
      </c>
      <c r="M540">
        <v>0</v>
      </c>
      <c r="N540">
        <v>2</v>
      </c>
      <c r="O540" s="1" t="s">
        <v>43</v>
      </c>
      <c r="P540">
        <v>1</v>
      </c>
      <c r="Q540">
        <v>0</v>
      </c>
      <c r="R540">
        <v>0</v>
      </c>
      <c r="S540">
        <v>0</v>
      </c>
      <c r="T540">
        <v>0</v>
      </c>
      <c r="U540">
        <f>IF(openpolis_patrimoni_trasparenti_anno_2014[[#This Row],[totale_730_dichiarante]]&lt;&gt;0,LOG10(openpolis_patrimoni_trasparenti_anno_2014[[#This Row],[totale_730_dichiarante]]), 0)</f>
        <v>4.8953562364764265</v>
      </c>
    </row>
    <row r="541" spans="1:21" x14ac:dyDescent="0.3">
      <c r="A541">
        <v>5139</v>
      </c>
      <c r="B541" s="1" t="s">
        <v>339</v>
      </c>
      <c r="C541" s="1" t="s">
        <v>937</v>
      </c>
      <c r="D541" s="2">
        <v>21522</v>
      </c>
      <c r="E541" s="1" t="s">
        <v>63</v>
      </c>
      <c r="F541" s="1" t="s">
        <v>30</v>
      </c>
      <c r="G541" s="1" t="s">
        <v>36</v>
      </c>
      <c r="H541" s="1" t="s">
        <v>54</v>
      </c>
      <c r="I541" s="1" t="s">
        <v>393</v>
      </c>
      <c r="J541">
        <v>100599</v>
      </c>
      <c r="K541">
        <v>0</v>
      </c>
      <c r="L541">
        <v>0</v>
      </c>
      <c r="M541">
        <v>0</v>
      </c>
      <c r="N541">
        <v>3</v>
      </c>
      <c r="O541" s="1" t="s">
        <v>32</v>
      </c>
      <c r="P541">
        <v>5</v>
      </c>
      <c r="Q541">
        <v>4</v>
      </c>
      <c r="R541">
        <v>3</v>
      </c>
      <c r="S541">
        <v>0</v>
      </c>
      <c r="T541">
        <v>0</v>
      </c>
      <c r="U541">
        <f>IF(openpolis_patrimoni_trasparenti_anno_2014[[#This Row],[totale_730_dichiarante]]&lt;&gt;0,LOG10(openpolis_patrimoni_trasparenti_anno_2014[[#This Row],[totale_730_dichiarante]]), 0)</f>
        <v>5.0025936636558885</v>
      </c>
    </row>
    <row r="542" spans="1:21" x14ac:dyDescent="0.3">
      <c r="A542">
        <v>488</v>
      </c>
      <c r="B542" s="1" t="s">
        <v>203</v>
      </c>
      <c r="C542" s="1" t="s">
        <v>938</v>
      </c>
      <c r="D542" s="2">
        <v>21327</v>
      </c>
      <c r="E542" s="1" t="s">
        <v>156</v>
      </c>
      <c r="F542" s="1" t="s">
        <v>30</v>
      </c>
      <c r="G542" s="1" t="s">
        <v>36</v>
      </c>
      <c r="H542" s="1" t="s">
        <v>37</v>
      </c>
      <c r="I542" s="1" t="s">
        <v>31</v>
      </c>
      <c r="J542">
        <v>97651</v>
      </c>
      <c r="K542">
        <v>0</v>
      </c>
      <c r="L542">
        <v>0</v>
      </c>
      <c r="M542">
        <v>0</v>
      </c>
      <c r="N542">
        <v>2</v>
      </c>
      <c r="O542" s="1" t="s">
        <v>43</v>
      </c>
      <c r="P542">
        <v>2</v>
      </c>
      <c r="Q542">
        <v>0</v>
      </c>
      <c r="R542">
        <v>1</v>
      </c>
      <c r="S542">
        <v>0</v>
      </c>
      <c r="T542">
        <v>0</v>
      </c>
      <c r="U542">
        <f>IF(openpolis_patrimoni_trasparenti_anno_2014[[#This Row],[totale_730_dichiarante]]&lt;&gt;0,LOG10(openpolis_patrimoni_trasparenti_anno_2014[[#This Row],[totale_730_dichiarante]]), 0)</f>
        <v>4.9896766950612328</v>
      </c>
    </row>
    <row r="543" spans="1:21" x14ac:dyDescent="0.3">
      <c r="A543">
        <v>686301</v>
      </c>
      <c r="B543" s="1" t="s">
        <v>242</v>
      </c>
      <c r="C543" s="1" t="s">
        <v>939</v>
      </c>
      <c r="D543" s="2">
        <v>28522</v>
      </c>
      <c r="E543" s="1" t="s">
        <v>29</v>
      </c>
      <c r="F543" s="1" t="s">
        <v>30</v>
      </c>
      <c r="G543" s="1" t="s">
        <v>24</v>
      </c>
      <c r="H543" s="1" t="s">
        <v>24</v>
      </c>
      <c r="I543" s="1" t="s">
        <v>64</v>
      </c>
      <c r="J543">
        <v>86232</v>
      </c>
      <c r="K543">
        <v>0</v>
      </c>
      <c r="L543">
        <v>0</v>
      </c>
      <c r="M543">
        <v>0</v>
      </c>
      <c r="N543">
        <v>2</v>
      </c>
      <c r="O543" s="1" t="s">
        <v>43</v>
      </c>
      <c r="P543">
        <v>1</v>
      </c>
      <c r="Q543">
        <v>0</v>
      </c>
      <c r="R543">
        <v>1</v>
      </c>
      <c r="S543">
        <v>0</v>
      </c>
      <c r="T543">
        <v>0</v>
      </c>
      <c r="U543">
        <f>IF(openpolis_patrimoni_trasparenti_anno_2014[[#This Row],[totale_730_dichiarante]]&lt;&gt;0,LOG10(openpolis_patrimoni_trasparenti_anno_2014[[#This Row],[totale_730_dichiarante]]), 0)</f>
        <v>4.9356684589162558</v>
      </c>
    </row>
    <row r="544" spans="1:21" x14ac:dyDescent="0.3">
      <c r="A544">
        <v>4857</v>
      </c>
      <c r="B544" s="1" t="s">
        <v>467</v>
      </c>
      <c r="C544" s="1" t="s">
        <v>940</v>
      </c>
      <c r="D544" s="2">
        <v>25589</v>
      </c>
      <c r="E544" s="1" t="s">
        <v>41</v>
      </c>
      <c r="F544" s="1" t="s">
        <v>30</v>
      </c>
      <c r="G544" s="1" t="s">
        <v>36</v>
      </c>
      <c r="H544" s="1" t="s">
        <v>37</v>
      </c>
      <c r="I544" s="1" t="s">
        <v>173</v>
      </c>
      <c r="J544">
        <v>99452</v>
      </c>
      <c r="K544">
        <v>0</v>
      </c>
      <c r="L544">
        <v>0</v>
      </c>
      <c r="M544">
        <v>0</v>
      </c>
      <c r="N544">
        <v>3</v>
      </c>
      <c r="O544" s="1" t="s">
        <v>32</v>
      </c>
      <c r="P544">
        <v>1</v>
      </c>
      <c r="Q544">
        <v>0</v>
      </c>
      <c r="R544">
        <v>1</v>
      </c>
      <c r="S544">
        <v>0</v>
      </c>
      <c r="T544">
        <v>0</v>
      </c>
      <c r="U544">
        <f>IF(openpolis_patrimoni_trasparenti_anno_2014[[#This Row],[totale_730_dichiarante]]&lt;&gt;0,LOG10(openpolis_patrimoni_trasparenti_anno_2014[[#This Row],[totale_730_dichiarante]]), 0)</f>
        <v>4.9976135212988657</v>
      </c>
    </row>
    <row r="545" spans="1:21" x14ac:dyDescent="0.3">
      <c r="A545">
        <v>685963</v>
      </c>
      <c r="B545" s="1" t="s">
        <v>192</v>
      </c>
      <c r="C545" s="1" t="s">
        <v>941</v>
      </c>
      <c r="D545" s="2">
        <v>24417</v>
      </c>
      <c r="E545" s="1" t="s">
        <v>49</v>
      </c>
      <c r="F545" s="1" t="s">
        <v>30</v>
      </c>
      <c r="G545" s="1" t="s">
        <v>126</v>
      </c>
      <c r="H545" s="1" t="s">
        <v>24</v>
      </c>
      <c r="I545" s="1" t="s">
        <v>72</v>
      </c>
      <c r="J545">
        <v>86137</v>
      </c>
      <c r="K545">
        <v>25944</v>
      </c>
      <c r="L545">
        <v>0</v>
      </c>
      <c r="M545">
        <v>0</v>
      </c>
      <c r="N545">
        <v>3</v>
      </c>
      <c r="O545" s="1" t="s">
        <v>32</v>
      </c>
      <c r="P545">
        <v>2</v>
      </c>
      <c r="Q545">
        <v>0</v>
      </c>
      <c r="R545">
        <v>2</v>
      </c>
      <c r="S545">
        <v>1</v>
      </c>
      <c r="T545">
        <v>0</v>
      </c>
      <c r="U545">
        <f>IF(openpolis_patrimoni_trasparenti_anno_2014[[#This Row],[totale_730_dichiarante]]&lt;&gt;0,LOG10(openpolis_patrimoni_trasparenti_anno_2014[[#This Row],[totale_730_dichiarante]]), 0)</f>
        <v>4.9351897419780784</v>
      </c>
    </row>
    <row r="546" spans="1:21" x14ac:dyDescent="0.3">
      <c r="A546">
        <v>686481</v>
      </c>
      <c r="B546" s="1" t="s">
        <v>942</v>
      </c>
      <c r="C546" s="1" t="s">
        <v>943</v>
      </c>
      <c r="D546" s="2">
        <v>29633</v>
      </c>
      <c r="E546" s="1" t="s">
        <v>944</v>
      </c>
      <c r="F546" s="1" t="s">
        <v>30</v>
      </c>
      <c r="G546" s="1" t="s">
        <v>102</v>
      </c>
      <c r="H546" s="1" t="s">
        <v>54</v>
      </c>
      <c r="I546" s="1" t="s">
        <v>115</v>
      </c>
      <c r="J546">
        <v>78229.8</v>
      </c>
      <c r="K546">
        <v>0</v>
      </c>
      <c r="L546">
        <v>0</v>
      </c>
      <c r="M546">
        <v>0</v>
      </c>
      <c r="N546">
        <v>3</v>
      </c>
      <c r="O546" s="1" t="s">
        <v>90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f>IF(openpolis_patrimoni_trasparenti_anno_2014[[#This Row],[totale_730_dichiarante]]&lt;&gt;0,LOG10(openpolis_patrimoni_trasparenti_anno_2014[[#This Row],[totale_730_dichiarante]]), 0)</f>
        <v>4.893372219942977</v>
      </c>
    </row>
    <row r="547" spans="1:21" x14ac:dyDescent="0.3">
      <c r="A547">
        <v>686469</v>
      </c>
      <c r="B547" s="1" t="s">
        <v>84</v>
      </c>
      <c r="C547" s="1" t="s">
        <v>945</v>
      </c>
      <c r="D547" s="2">
        <v>31119</v>
      </c>
      <c r="E547" s="1" t="s">
        <v>49</v>
      </c>
      <c r="F547" s="1" t="s">
        <v>30</v>
      </c>
      <c r="G547" s="1" t="s">
        <v>102</v>
      </c>
      <c r="H547" s="1" t="s">
        <v>102</v>
      </c>
      <c r="I547" s="1" t="s">
        <v>115</v>
      </c>
      <c r="J547">
        <v>78229.8</v>
      </c>
      <c r="K547">
        <v>0</v>
      </c>
      <c r="L547">
        <v>0</v>
      </c>
      <c r="M547">
        <v>0</v>
      </c>
      <c r="N547">
        <v>2</v>
      </c>
      <c r="O547" s="1" t="s">
        <v>43</v>
      </c>
      <c r="P547">
        <v>0</v>
      </c>
      <c r="Q547">
        <v>0</v>
      </c>
      <c r="R547">
        <v>1</v>
      </c>
      <c r="S547">
        <v>0</v>
      </c>
      <c r="T547">
        <v>0</v>
      </c>
      <c r="U547">
        <f>IF(openpolis_patrimoni_trasparenti_anno_2014[[#This Row],[totale_730_dichiarante]]&lt;&gt;0,LOG10(openpolis_patrimoni_trasparenti_anno_2014[[#This Row],[totale_730_dichiarante]]), 0)</f>
        <v>4.893372219942977</v>
      </c>
    </row>
    <row r="548" spans="1:21" x14ac:dyDescent="0.3">
      <c r="A548">
        <v>687598</v>
      </c>
      <c r="B548" s="1" t="s">
        <v>198</v>
      </c>
      <c r="C548" s="1" t="s">
        <v>946</v>
      </c>
      <c r="D548" s="2">
        <v>27697</v>
      </c>
      <c r="E548" s="1" t="s">
        <v>29</v>
      </c>
      <c r="F548" s="1" t="s">
        <v>30</v>
      </c>
      <c r="G548" s="1" t="s">
        <v>24</v>
      </c>
      <c r="H548" s="1" t="s">
        <v>24</v>
      </c>
      <c r="I548" s="1" t="s">
        <v>98</v>
      </c>
      <c r="J548">
        <v>78229.8</v>
      </c>
      <c r="K548">
        <v>0</v>
      </c>
      <c r="L548">
        <v>0</v>
      </c>
      <c r="M548">
        <v>0</v>
      </c>
      <c r="N548">
        <v>2</v>
      </c>
      <c r="O548" s="1" t="s">
        <v>43</v>
      </c>
      <c r="P548">
        <v>0</v>
      </c>
      <c r="Q548">
        <v>0</v>
      </c>
      <c r="R548">
        <v>0</v>
      </c>
      <c r="S548">
        <v>1</v>
      </c>
      <c r="T548">
        <v>1</v>
      </c>
      <c r="U548">
        <f>IF(openpolis_patrimoni_trasparenti_anno_2014[[#This Row],[totale_730_dichiarante]]&lt;&gt;0,LOG10(openpolis_patrimoni_trasparenti_anno_2014[[#This Row],[totale_730_dichiarante]]), 0)</f>
        <v>4.893372219942977</v>
      </c>
    </row>
    <row r="549" spans="1:21" x14ac:dyDescent="0.3">
      <c r="A549">
        <v>687748</v>
      </c>
      <c r="B549" s="1" t="s">
        <v>947</v>
      </c>
      <c r="C549" s="1" t="s">
        <v>948</v>
      </c>
      <c r="D549" s="2">
        <v>18826</v>
      </c>
      <c r="E549" s="1" t="s">
        <v>156</v>
      </c>
      <c r="F549" s="1" t="s">
        <v>30</v>
      </c>
      <c r="G549" s="1" t="s">
        <v>126</v>
      </c>
      <c r="H549" s="1" t="s">
        <v>127</v>
      </c>
      <c r="I549" s="1" t="s">
        <v>284</v>
      </c>
      <c r="J549">
        <v>84969</v>
      </c>
      <c r="K549">
        <v>0</v>
      </c>
      <c r="L549">
        <v>0</v>
      </c>
      <c r="M549">
        <v>0</v>
      </c>
      <c r="N549">
        <v>3</v>
      </c>
      <c r="O549" s="1" t="s">
        <v>32</v>
      </c>
      <c r="P549">
        <v>2</v>
      </c>
      <c r="Q549">
        <v>0</v>
      </c>
      <c r="R549">
        <v>0</v>
      </c>
      <c r="S549">
        <v>0</v>
      </c>
      <c r="T549">
        <v>0</v>
      </c>
      <c r="U549">
        <f>IF(openpolis_patrimoni_trasparenti_anno_2014[[#This Row],[totale_730_dichiarante]]&lt;&gt;0,LOG10(openpolis_patrimoni_trasparenti_anno_2014[[#This Row],[totale_730_dichiarante]]), 0)</f>
        <v>4.9292605070722075</v>
      </c>
    </row>
    <row r="550" spans="1:21" x14ac:dyDescent="0.3">
      <c r="A550">
        <v>415851</v>
      </c>
      <c r="B550" s="1" t="s">
        <v>949</v>
      </c>
      <c r="C550" s="1" t="s">
        <v>950</v>
      </c>
      <c r="D550" s="2">
        <v>28293</v>
      </c>
      <c r="E550" s="1" t="s">
        <v>101</v>
      </c>
      <c r="F550" s="1" t="s">
        <v>30</v>
      </c>
      <c r="G550" s="1" t="s">
        <v>53</v>
      </c>
      <c r="H550" s="1" t="s">
        <v>53</v>
      </c>
      <c r="I550" s="1" t="s">
        <v>72</v>
      </c>
      <c r="J550">
        <v>80578</v>
      </c>
      <c r="K550">
        <v>0</v>
      </c>
      <c r="L550">
        <v>0</v>
      </c>
      <c r="M550">
        <v>0</v>
      </c>
      <c r="N550">
        <v>3</v>
      </c>
      <c r="O550" s="1" t="s">
        <v>32</v>
      </c>
      <c r="P550">
        <v>0</v>
      </c>
      <c r="Q550">
        <v>1</v>
      </c>
      <c r="R550">
        <v>2</v>
      </c>
      <c r="S550">
        <v>0</v>
      </c>
      <c r="T550">
        <v>0</v>
      </c>
      <c r="U550">
        <f>IF(openpolis_patrimoni_trasparenti_anno_2014[[#This Row],[totale_730_dichiarante]]&lt;&gt;0,LOG10(openpolis_patrimoni_trasparenti_anno_2014[[#This Row],[totale_730_dichiarante]]), 0)</f>
        <v>4.9062164837058315</v>
      </c>
    </row>
    <row r="551" spans="1:21" x14ac:dyDescent="0.3">
      <c r="A551">
        <v>122285</v>
      </c>
      <c r="B551" s="1" t="s">
        <v>951</v>
      </c>
      <c r="C551" s="1" t="s">
        <v>952</v>
      </c>
      <c r="D551" s="2">
        <v>25756</v>
      </c>
      <c r="E551" s="1" t="s">
        <v>22</v>
      </c>
      <c r="F551" s="1" t="s">
        <v>30</v>
      </c>
      <c r="G551" s="1" t="s">
        <v>24</v>
      </c>
      <c r="H551" s="1" t="s">
        <v>24</v>
      </c>
      <c r="I551" s="1" t="s">
        <v>111</v>
      </c>
      <c r="J551">
        <v>84568</v>
      </c>
      <c r="K551">
        <v>0</v>
      </c>
      <c r="L551">
        <v>0</v>
      </c>
      <c r="M551">
        <v>0</v>
      </c>
      <c r="N551">
        <v>3</v>
      </c>
      <c r="O551" s="1" t="s">
        <v>32</v>
      </c>
      <c r="P551">
        <v>1</v>
      </c>
      <c r="Q551">
        <v>0</v>
      </c>
      <c r="R551">
        <v>0</v>
      </c>
      <c r="S551">
        <v>1</v>
      </c>
      <c r="T551">
        <v>0</v>
      </c>
      <c r="U551">
        <f>IF(openpolis_patrimoni_trasparenti_anno_2014[[#This Row],[totale_730_dichiarante]]&lt;&gt;0,LOG10(openpolis_patrimoni_trasparenti_anno_2014[[#This Row],[totale_730_dichiarante]]), 0)</f>
        <v>4.9272060598187144</v>
      </c>
    </row>
    <row r="552" spans="1:21" x14ac:dyDescent="0.3">
      <c r="A552">
        <v>304594</v>
      </c>
      <c r="B552" s="1" t="s">
        <v>953</v>
      </c>
      <c r="C552" s="1" t="s">
        <v>954</v>
      </c>
      <c r="D552" s="2">
        <v>27318</v>
      </c>
      <c r="E552" s="1" t="s">
        <v>41</v>
      </c>
      <c r="F552" s="1" t="s">
        <v>30</v>
      </c>
      <c r="G552" s="1" t="s">
        <v>24</v>
      </c>
      <c r="H552" s="1" t="s">
        <v>24</v>
      </c>
      <c r="I552" s="1" t="s">
        <v>264</v>
      </c>
      <c r="J552">
        <v>78230</v>
      </c>
      <c r="K552">
        <v>18398</v>
      </c>
      <c r="L552">
        <v>0</v>
      </c>
      <c r="M552">
        <v>0</v>
      </c>
      <c r="N552">
        <v>3</v>
      </c>
      <c r="O552" s="1" t="s">
        <v>32</v>
      </c>
      <c r="P552">
        <v>1</v>
      </c>
      <c r="Q552">
        <v>0</v>
      </c>
      <c r="R552">
        <v>0</v>
      </c>
      <c r="S552">
        <v>0</v>
      </c>
      <c r="T552">
        <v>0</v>
      </c>
      <c r="U552">
        <f>IF(openpolis_patrimoni_trasparenti_anno_2014[[#This Row],[totale_730_dichiarante]]&lt;&gt;0,LOG10(openpolis_patrimoni_trasparenti_anno_2014[[#This Row],[totale_730_dichiarante]]), 0)</f>
        <v>4.8933733302460247</v>
      </c>
    </row>
    <row r="553" spans="1:21" x14ac:dyDescent="0.3">
      <c r="A553">
        <v>687355</v>
      </c>
      <c r="B553" s="1" t="s">
        <v>949</v>
      </c>
      <c r="C553" s="1" t="s">
        <v>131</v>
      </c>
      <c r="D553" s="2">
        <v>26987</v>
      </c>
      <c r="E553" s="1" t="s">
        <v>307</v>
      </c>
      <c r="F553" s="1" t="s">
        <v>30</v>
      </c>
      <c r="G553" s="1" t="s">
        <v>102</v>
      </c>
      <c r="H553" s="1" t="s">
        <v>54</v>
      </c>
      <c r="I553" s="1" t="s">
        <v>159</v>
      </c>
      <c r="J553">
        <v>78229.8</v>
      </c>
      <c r="K553">
        <v>0</v>
      </c>
      <c r="L553">
        <v>0</v>
      </c>
      <c r="M553">
        <v>0</v>
      </c>
      <c r="N553">
        <v>3</v>
      </c>
      <c r="O553" s="1" t="s">
        <v>90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f>IF(openpolis_patrimoni_trasparenti_anno_2014[[#This Row],[totale_730_dichiarante]]&lt;&gt;0,LOG10(openpolis_patrimoni_trasparenti_anno_2014[[#This Row],[totale_730_dichiarante]]), 0)</f>
        <v>4.893372219942977</v>
      </c>
    </row>
    <row r="554" spans="1:21" x14ac:dyDescent="0.3">
      <c r="A554">
        <v>561083</v>
      </c>
      <c r="B554" s="1" t="s">
        <v>329</v>
      </c>
      <c r="C554" s="1" t="s">
        <v>955</v>
      </c>
      <c r="D554" s="2">
        <v>22997</v>
      </c>
      <c r="E554" s="1" t="s">
        <v>49</v>
      </c>
      <c r="F554" s="1" t="s">
        <v>30</v>
      </c>
      <c r="G554" s="1" t="s">
        <v>24</v>
      </c>
      <c r="H554" s="1" t="s">
        <v>24</v>
      </c>
      <c r="I554" s="1" t="s">
        <v>169</v>
      </c>
      <c r="J554">
        <v>89276</v>
      </c>
      <c r="K554">
        <v>0</v>
      </c>
      <c r="L554">
        <v>0</v>
      </c>
      <c r="M554">
        <v>0</v>
      </c>
      <c r="N554">
        <v>3</v>
      </c>
      <c r="O554" s="1" t="s">
        <v>32</v>
      </c>
      <c r="P554">
        <v>0</v>
      </c>
      <c r="Q554">
        <v>0</v>
      </c>
      <c r="R554">
        <v>2</v>
      </c>
      <c r="S554">
        <v>0</v>
      </c>
      <c r="T554">
        <v>0</v>
      </c>
      <c r="U554">
        <f>IF(openpolis_patrimoni_trasparenti_anno_2014[[#This Row],[totale_730_dichiarante]]&lt;&gt;0,LOG10(openpolis_patrimoni_trasparenti_anno_2014[[#This Row],[totale_730_dichiarante]]), 0)</f>
        <v>4.9507347235195338</v>
      </c>
    </row>
    <row r="555" spans="1:21" x14ac:dyDescent="0.3">
      <c r="A555">
        <v>549877</v>
      </c>
      <c r="B555" s="1" t="s">
        <v>956</v>
      </c>
      <c r="C555" s="1" t="s">
        <v>957</v>
      </c>
      <c r="D555" s="2">
        <v>28861</v>
      </c>
      <c r="E555" s="1" t="s">
        <v>49</v>
      </c>
      <c r="F555" s="1" t="s">
        <v>30</v>
      </c>
      <c r="G555" s="1" t="s">
        <v>53</v>
      </c>
      <c r="H555" s="1" t="s">
        <v>53</v>
      </c>
      <c r="I555" s="1" t="s">
        <v>118</v>
      </c>
      <c r="J555">
        <v>81041</v>
      </c>
      <c r="K555">
        <v>0</v>
      </c>
      <c r="L555">
        <v>0</v>
      </c>
      <c r="M555">
        <v>0</v>
      </c>
      <c r="N555">
        <v>3</v>
      </c>
      <c r="O555" s="1" t="s">
        <v>32</v>
      </c>
      <c r="P555">
        <v>1</v>
      </c>
      <c r="Q555">
        <v>0</v>
      </c>
      <c r="R555">
        <v>1</v>
      </c>
      <c r="S555">
        <v>1</v>
      </c>
      <c r="T555">
        <v>0</v>
      </c>
      <c r="U555">
        <f>IF(openpolis_patrimoni_trasparenti_anno_2014[[#This Row],[totale_730_dichiarante]]&lt;&gt;0,LOG10(openpolis_patrimoni_trasparenti_anno_2014[[#This Row],[totale_730_dichiarante]]), 0)</f>
        <v>4.9087047913330037</v>
      </c>
    </row>
    <row r="556" spans="1:21" x14ac:dyDescent="0.3">
      <c r="A556">
        <v>686656</v>
      </c>
      <c r="B556" s="1" t="s">
        <v>958</v>
      </c>
      <c r="C556" s="1" t="s">
        <v>959</v>
      </c>
      <c r="D556" s="2">
        <v>23434</v>
      </c>
      <c r="E556" s="1" t="s">
        <v>41</v>
      </c>
      <c r="F556" s="1" t="s">
        <v>30</v>
      </c>
      <c r="G556" s="1" t="s">
        <v>24</v>
      </c>
      <c r="H556" s="1" t="s">
        <v>37</v>
      </c>
      <c r="I556" s="1" t="s">
        <v>38</v>
      </c>
      <c r="J556">
        <v>81211</v>
      </c>
      <c r="K556">
        <v>0</v>
      </c>
      <c r="L556">
        <v>0</v>
      </c>
      <c r="M556">
        <v>0</v>
      </c>
      <c r="N556">
        <v>3</v>
      </c>
      <c r="O556" s="1" t="s">
        <v>32</v>
      </c>
      <c r="P556">
        <v>1</v>
      </c>
      <c r="Q556">
        <v>0</v>
      </c>
      <c r="R556">
        <v>2</v>
      </c>
      <c r="S556">
        <v>0</v>
      </c>
      <c r="T556">
        <v>0</v>
      </c>
      <c r="U556">
        <f>IF(openpolis_patrimoni_trasparenti_anno_2014[[#This Row],[totale_730_dichiarante]]&lt;&gt;0,LOG10(openpolis_patrimoni_trasparenti_anno_2014[[#This Row],[totale_730_dichiarante]]), 0)</f>
        <v>4.9096148582528585</v>
      </c>
    </row>
    <row r="557" spans="1:21" x14ac:dyDescent="0.3">
      <c r="A557">
        <v>26700</v>
      </c>
      <c r="B557" s="1" t="s">
        <v>84</v>
      </c>
      <c r="C557" s="1" t="s">
        <v>960</v>
      </c>
      <c r="D557" s="2">
        <v>27791</v>
      </c>
      <c r="E557" s="1" t="s">
        <v>41</v>
      </c>
      <c r="F557" s="1" t="s">
        <v>30</v>
      </c>
      <c r="G557" s="1" t="s">
        <v>24</v>
      </c>
      <c r="H557" s="1" t="s">
        <v>24</v>
      </c>
      <c r="I557" s="1" t="s">
        <v>72</v>
      </c>
      <c r="J557">
        <v>78230</v>
      </c>
      <c r="K557">
        <v>0</v>
      </c>
      <c r="L557">
        <v>0</v>
      </c>
      <c r="M557">
        <v>0</v>
      </c>
      <c r="N557">
        <v>2</v>
      </c>
      <c r="O557" s="1" t="s">
        <v>43</v>
      </c>
      <c r="P557">
        <v>1</v>
      </c>
      <c r="Q557">
        <v>0</v>
      </c>
      <c r="R557">
        <v>0</v>
      </c>
      <c r="S557">
        <v>0</v>
      </c>
      <c r="T557">
        <v>0</v>
      </c>
      <c r="U557">
        <f>IF(openpolis_patrimoni_trasparenti_anno_2014[[#This Row],[totale_730_dichiarante]]&lt;&gt;0,LOG10(openpolis_patrimoni_trasparenti_anno_2014[[#This Row],[totale_730_dichiarante]]), 0)</f>
        <v>4.8933733302460247</v>
      </c>
    </row>
    <row r="558" spans="1:21" x14ac:dyDescent="0.3">
      <c r="A558">
        <v>473</v>
      </c>
      <c r="B558" s="1" t="s">
        <v>44</v>
      </c>
      <c r="C558" s="1" t="s">
        <v>961</v>
      </c>
      <c r="D558" s="2">
        <v>27664</v>
      </c>
      <c r="E558" s="1" t="s">
        <v>35</v>
      </c>
      <c r="F558" s="1" t="s">
        <v>30</v>
      </c>
      <c r="G558" s="1" t="s">
        <v>53</v>
      </c>
      <c r="H558" s="1" t="s">
        <v>53</v>
      </c>
      <c r="I558" s="1" t="s">
        <v>64</v>
      </c>
      <c r="J558">
        <v>98471</v>
      </c>
      <c r="K558">
        <v>0</v>
      </c>
      <c r="L558">
        <v>0</v>
      </c>
      <c r="M558">
        <v>0</v>
      </c>
      <c r="N558">
        <v>3</v>
      </c>
      <c r="O558" s="1" t="s">
        <v>32</v>
      </c>
      <c r="P558">
        <v>0</v>
      </c>
      <c r="Q558">
        <v>0</v>
      </c>
      <c r="R558">
        <v>2</v>
      </c>
      <c r="S558">
        <v>0</v>
      </c>
      <c r="T558">
        <v>0</v>
      </c>
      <c r="U558">
        <f>IF(openpolis_patrimoni_trasparenti_anno_2014[[#This Row],[totale_730_dichiarante]]&lt;&gt;0,LOG10(openpolis_patrimoni_trasparenti_anno_2014[[#This Row],[totale_730_dichiarante]]), 0)</f>
        <v>4.9933083483213911</v>
      </c>
    </row>
    <row r="559" spans="1:21" x14ac:dyDescent="0.3">
      <c r="A559">
        <v>686658</v>
      </c>
      <c r="B559" s="1" t="s">
        <v>721</v>
      </c>
      <c r="C559" s="1" t="s">
        <v>962</v>
      </c>
      <c r="D559" s="2">
        <v>27544</v>
      </c>
      <c r="E559" s="1" t="s">
        <v>75</v>
      </c>
      <c r="F559" s="1" t="s">
        <v>30</v>
      </c>
      <c r="G559" s="1" t="s">
        <v>102</v>
      </c>
      <c r="H559" s="1" t="s">
        <v>102</v>
      </c>
      <c r="I559" s="1" t="s">
        <v>38</v>
      </c>
      <c r="J559">
        <v>103941</v>
      </c>
      <c r="K559">
        <v>0</v>
      </c>
      <c r="L559">
        <v>0</v>
      </c>
      <c r="M559">
        <v>0</v>
      </c>
      <c r="N559">
        <v>3</v>
      </c>
      <c r="O559" s="1" t="s">
        <v>32</v>
      </c>
      <c r="P559">
        <v>0</v>
      </c>
      <c r="Q559">
        <v>0</v>
      </c>
      <c r="R559">
        <v>1</v>
      </c>
      <c r="S559">
        <v>0</v>
      </c>
      <c r="T559">
        <v>0</v>
      </c>
      <c r="U559">
        <f>IF(openpolis_patrimoni_trasparenti_anno_2014[[#This Row],[totale_730_dichiarante]]&lt;&gt;0,LOG10(openpolis_patrimoni_trasparenti_anno_2014[[#This Row],[totale_730_dichiarante]]), 0)</f>
        <v>5.0167868907857898</v>
      </c>
    </row>
    <row r="560" spans="1:21" x14ac:dyDescent="0.3">
      <c r="A560">
        <v>292004</v>
      </c>
      <c r="B560" s="1" t="s">
        <v>201</v>
      </c>
      <c r="C560" s="1" t="s">
        <v>963</v>
      </c>
      <c r="D560" s="2">
        <v>29722</v>
      </c>
      <c r="E560" s="1" t="s">
        <v>49</v>
      </c>
      <c r="F560" s="1" t="s">
        <v>30</v>
      </c>
      <c r="G560" s="1" t="s">
        <v>24</v>
      </c>
      <c r="H560" s="1" t="s">
        <v>24</v>
      </c>
      <c r="I560" s="1" t="s">
        <v>194</v>
      </c>
      <c r="J560">
        <v>80448</v>
      </c>
      <c r="K560">
        <v>0</v>
      </c>
      <c r="L560">
        <v>0</v>
      </c>
      <c r="M560">
        <v>0</v>
      </c>
      <c r="N560">
        <v>3</v>
      </c>
      <c r="O560" s="1" t="s">
        <v>32</v>
      </c>
      <c r="P560">
        <v>0</v>
      </c>
      <c r="Q560">
        <v>0</v>
      </c>
      <c r="R560">
        <v>1</v>
      </c>
      <c r="S560">
        <v>0</v>
      </c>
      <c r="T560">
        <v>0</v>
      </c>
      <c r="U560">
        <f>IF(openpolis_patrimoni_trasparenti_anno_2014[[#This Row],[totale_730_dichiarante]]&lt;&gt;0,LOG10(openpolis_patrimoni_trasparenti_anno_2014[[#This Row],[totale_730_dichiarante]]), 0)</f>
        <v>4.9055152516698453</v>
      </c>
    </row>
    <row r="561" spans="1:21" x14ac:dyDescent="0.3">
      <c r="A561">
        <v>530483</v>
      </c>
      <c r="B561" s="1" t="s">
        <v>582</v>
      </c>
      <c r="C561" s="1" t="s">
        <v>964</v>
      </c>
      <c r="D561" s="2">
        <v>29527</v>
      </c>
      <c r="E561" s="1" t="s">
        <v>49</v>
      </c>
      <c r="F561" s="1" t="s">
        <v>30</v>
      </c>
      <c r="G561" s="1" t="s">
        <v>24</v>
      </c>
      <c r="H561" s="1" t="s">
        <v>127</v>
      </c>
      <c r="I561" s="1" t="s">
        <v>50</v>
      </c>
      <c r="J561">
        <v>80953</v>
      </c>
      <c r="K561">
        <v>0</v>
      </c>
      <c r="L561">
        <v>0</v>
      </c>
      <c r="M561">
        <v>0</v>
      </c>
      <c r="N561">
        <v>3</v>
      </c>
      <c r="O561" s="1" t="s">
        <v>32</v>
      </c>
      <c r="P561">
        <v>0</v>
      </c>
      <c r="Q561">
        <v>0</v>
      </c>
      <c r="R561">
        <v>1</v>
      </c>
      <c r="S561">
        <v>0</v>
      </c>
      <c r="T561">
        <v>0</v>
      </c>
      <c r="U561">
        <f>IF(openpolis_patrimoni_trasparenti_anno_2014[[#This Row],[totale_730_dichiarante]]&lt;&gt;0,LOG10(openpolis_patrimoni_trasparenti_anno_2014[[#This Row],[totale_730_dichiarante]]), 0)</f>
        <v>4.9082329477071065</v>
      </c>
    </row>
    <row r="562" spans="1:21" x14ac:dyDescent="0.3">
      <c r="A562">
        <v>686652</v>
      </c>
      <c r="B562" s="1" t="s">
        <v>965</v>
      </c>
      <c r="C562" s="1" t="s">
        <v>966</v>
      </c>
      <c r="D562" s="2">
        <v>21239</v>
      </c>
      <c r="E562" s="1" t="s">
        <v>41</v>
      </c>
      <c r="F562" s="1" t="s">
        <v>30</v>
      </c>
      <c r="G562" s="1" t="s">
        <v>24</v>
      </c>
      <c r="H562" s="1" t="s">
        <v>24</v>
      </c>
      <c r="I562" s="1" t="s">
        <v>38</v>
      </c>
      <c r="J562">
        <v>100958</v>
      </c>
      <c r="K562">
        <v>0</v>
      </c>
      <c r="L562">
        <v>0</v>
      </c>
      <c r="M562">
        <v>0</v>
      </c>
      <c r="N562">
        <v>3</v>
      </c>
      <c r="O562" s="1" t="s">
        <v>32</v>
      </c>
      <c r="P562">
        <v>2</v>
      </c>
      <c r="Q562">
        <v>0</v>
      </c>
      <c r="R562">
        <v>2</v>
      </c>
      <c r="S562">
        <v>0</v>
      </c>
      <c r="T562">
        <v>0</v>
      </c>
      <c r="U562">
        <f>IF(openpolis_patrimoni_trasparenti_anno_2014[[#This Row],[totale_730_dichiarante]]&lt;&gt;0,LOG10(openpolis_patrimoni_trasparenti_anno_2014[[#This Row],[totale_730_dichiarante]]), 0)</f>
        <v>5.0041407385168659</v>
      </c>
    </row>
    <row r="563" spans="1:21" x14ac:dyDescent="0.3">
      <c r="A563">
        <v>687324</v>
      </c>
      <c r="B563" s="1" t="s">
        <v>967</v>
      </c>
      <c r="C563" s="1" t="s">
        <v>968</v>
      </c>
      <c r="D563" s="2">
        <v>32103</v>
      </c>
      <c r="E563" s="1" t="s">
        <v>114</v>
      </c>
      <c r="F563" s="1" t="s">
        <v>30</v>
      </c>
      <c r="G563" s="1" t="s">
        <v>102</v>
      </c>
      <c r="H563" s="1" t="s">
        <v>102</v>
      </c>
      <c r="I563" s="1" t="s">
        <v>50</v>
      </c>
      <c r="J563">
        <v>78229.8</v>
      </c>
      <c r="K563">
        <v>0</v>
      </c>
      <c r="L563">
        <v>0</v>
      </c>
      <c r="M563">
        <v>0</v>
      </c>
      <c r="N563">
        <v>3</v>
      </c>
      <c r="O563" s="1" t="s">
        <v>90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f>IF(openpolis_patrimoni_trasparenti_anno_2014[[#This Row],[totale_730_dichiarante]]&lt;&gt;0,LOG10(openpolis_patrimoni_trasparenti_anno_2014[[#This Row],[totale_730_dichiarante]]), 0)</f>
        <v>4.893372219942977</v>
      </c>
    </row>
    <row r="564" spans="1:21" x14ac:dyDescent="0.3">
      <c r="A564">
        <v>468</v>
      </c>
      <c r="B564" s="1" t="s">
        <v>616</v>
      </c>
      <c r="C564" s="1" t="s">
        <v>969</v>
      </c>
      <c r="D564" s="2">
        <v>24922</v>
      </c>
      <c r="E564" s="1" t="s">
        <v>136</v>
      </c>
      <c r="F564" s="1" t="s">
        <v>176</v>
      </c>
      <c r="G564" s="1" t="s">
        <v>177</v>
      </c>
      <c r="H564" s="1" t="s">
        <v>25</v>
      </c>
      <c r="I564" s="1" t="s">
        <v>72</v>
      </c>
      <c r="J564">
        <v>134954</v>
      </c>
      <c r="K564">
        <v>0</v>
      </c>
      <c r="L564">
        <v>0</v>
      </c>
      <c r="M564">
        <v>0</v>
      </c>
      <c r="N564">
        <v>2</v>
      </c>
      <c r="O564" s="1" t="s">
        <v>195</v>
      </c>
      <c r="P564">
        <v>8</v>
      </c>
      <c r="Q564">
        <v>1</v>
      </c>
      <c r="R564">
        <v>1</v>
      </c>
      <c r="S564">
        <v>5</v>
      </c>
      <c r="T564">
        <v>0</v>
      </c>
      <c r="U564">
        <f>IF(openpolis_patrimoni_trasparenti_anno_2014[[#This Row],[totale_730_dichiarante]]&lt;&gt;0,LOG10(openpolis_patrimoni_trasparenti_anno_2014[[#This Row],[totale_730_dichiarante]]), 0)</f>
        <v>5.1301857614540962</v>
      </c>
    </row>
    <row r="565" spans="1:21" x14ac:dyDescent="0.3">
      <c r="A565">
        <v>6442</v>
      </c>
      <c r="B565" s="1" t="s">
        <v>970</v>
      </c>
      <c r="C565" s="1" t="s">
        <v>971</v>
      </c>
      <c r="D565" s="2">
        <v>19514</v>
      </c>
      <c r="E565" s="1" t="s">
        <v>49</v>
      </c>
      <c r="F565" s="1" t="s">
        <v>30</v>
      </c>
      <c r="G565" s="1" t="s">
        <v>24</v>
      </c>
      <c r="H565" s="1" t="s">
        <v>24</v>
      </c>
      <c r="I565" s="1" t="s">
        <v>284</v>
      </c>
      <c r="J565">
        <v>140334</v>
      </c>
      <c r="K565">
        <v>0</v>
      </c>
      <c r="L565">
        <v>0</v>
      </c>
      <c r="M565">
        <v>0</v>
      </c>
      <c r="N565">
        <v>3</v>
      </c>
      <c r="O565" s="1" t="s">
        <v>32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f>IF(openpolis_patrimoni_trasparenti_anno_2014[[#This Row],[totale_730_dichiarante]]&lt;&gt;0,LOG10(openpolis_patrimoni_trasparenti_anno_2014[[#This Row],[totale_730_dichiarante]]), 0)</f>
        <v>5.1471629042677893</v>
      </c>
    </row>
    <row r="566" spans="1:21" x14ac:dyDescent="0.3">
      <c r="A566">
        <v>88982</v>
      </c>
      <c r="B566" s="1" t="s">
        <v>972</v>
      </c>
      <c r="C566" s="1" t="s">
        <v>973</v>
      </c>
      <c r="D566" s="2">
        <v>25189</v>
      </c>
      <c r="E566" s="1" t="s">
        <v>49</v>
      </c>
      <c r="F566" s="1" t="s">
        <v>30</v>
      </c>
      <c r="G566" s="1" t="s">
        <v>24</v>
      </c>
      <c r="H566" s="1" t="s">
        <v>24</v>
      </c>
      <c r="I566" s="1" t="s">
        <v>173</v>
      </c>
      <c r="J566">
        <v>91143</v>
      </c>
      <c r="K566">
        <v>0</v>
      </c>
      <c r="L566">
        <v>0</v>
      </c>
      <c r="M566">
        <v>0</v>
      </c>
      <c r="N566">
        <v>3</v>
      </c>
      <c r="O566" s="1" t="s">
        <v>32</v>
      </c>
      <c r="P566">
        <v>1</v>
      </c>
      <c r="Q566">
        <v>1</v>
      </c>
      <c r="R566">
        <v>2</v>
      </c>
      <c r="S566">
        <v>0</v>
      </c>
      <c r="T566">
        <v>0</v>
      </c>
      <c r="U566">
        <f>IF(openpolis_patrimoni_trasparenti_anno_2014[[#This Row],[totale_730_dichiarante]]&lt;&gt;0,LOG10(openpolis_patrimoni_trasparenti_anno_2014[[#This Row],[totale_730_dichiarante]]), 0)</f>
        <v>4.9597233194187265</v>
      </c>
    </row>
    <row r="567" spans="1:21" x14ac:dyDescent="0.3">
      <c r="A567">
        <v>686308</v>
      </c>
      <c r="B567" s="1" t="s">
        <v>974</v>
      </c>
      <c r="C567" s="1" t="s">
        <v>975</v>
      </c>
      <c r="D567" s="2">
        <v>24310</v>
      </c>
      <c r="E567" s="1" t="s">
        <v>29</v>
      </c>
      <c r="F567" s="1" t="s">
        <v>30</v>
      </c>
      <c r="G567" s="1" t="s">
        <v>24</v>
      </c>
      <c r="H567" s="1" t="s">
        <v>24</v>
      </c>
      <c r="I567" s="1" t="s">
        <v>64</v>
      </c>
      <c r="J567">
        <v>94357</v>
      </c>
      <c r="K567">
        <v>0</v>
      </c>
      <c r="L567">
        <v>0</v>
      </c>
      <c r="M567">
        <v>0</v>
      </c>
      <c r="N567">
        <v>3</v>
      </c>
      <c r="O567" s="1" t="s">
        <v>32</v>
      </c>
      <c r="P567">
        <v>1</v>
      </c>
      <c r="Q567">
        <v>0</v>
      </c>
      <c r="R567">
        <v>1</v>
      </c>
      <c r="S567">
        <v>0</v>
      </c>
      <c r="T567">
        <v>0</v>
      </c>
      <c r="U567">
        <f>IF(openpolis_patrimoni_trasparenti_anno_2014[[#This Row],[totale_730_dichiarante]]&lt;&gt;0,LOG10(openpolis_patrimoni_trasparenti_anno_2014[[#This Row],[totale_730_dichiarante]]), 0)</f>
        <v>4.9747741244119732</v>
      </c>
    </row>
    <row r="568" spans="1:21" x14ac:dyDescent="0.3">
      <c r="A568">
        <v>319282</v>
      </c>
      <c r="B568" s="1" t="s">
        <v>265</v>
      </c>
      <c r="C568" s="1" t="s">
        <v>976</v>
      </c>
      <c r="D568" s="2">
        <v>23844</v>
      </c>
      <c r="E568" s="1" t="s">
        <v>29</v>
      </c>
      <c r="F568" s="1" t="s">
        <v>30</v>
      </c>
      <c r="G568" s="1" t="s">
        <v>24</v>
      </c>
      <c r="H568" s="1" t="s">
        <v>24</v>
      </c>
      <c r="I568" s="1" t="s">
        <v>200</v>
      </c>
      <c r="J568">
        <v>99730</v>
      </c>
      <c r="K568">
        <v>0</v>
      </c>
      <c r="L568">
        <v>0</v>
      </c>
      <c r="M568">
        <v>0</v>
      </c>
      <c r="N568">
        <v>2</v>
      </c>
      <c r="O568" s="1" t="s">
        <v>43</v>
      </c>
      <c r="P568">
        <v>1</v>
      </c>
      <c r="Q568">
        <v>0</v>
      </c>
      <c r="R568">
        <v>0</v>
      </c>
      <c r="S568">
        <v>0</v>
      </c>
      <c r="T568">
        <v>0</v>
      </c>
      <c r="U568">
        <f>IF(openpolis_patrimoni_trasparenti_anno_2014[[#This Row],[totale_730_dichiarante]]&lt;&gt;0,LOG10(openpolis_patrimoni_trasparenti_anno_2014[[#This Row],[totale_730_dichiarante]]), 0)</f>
        <v>4.9988258190402863</v>
      </c>
    </row>
    <row r="569" spans="1:21" x14ac:dyDescent="0.3">
      <c r="A569">
        <v>460</v>
      </c>
      <c r="B569" s="1" t="s">
        <v>341</v>
      </c>
      <c r="C569" s="1" t="s">
        <v>977</v>
      </c>
      <c r="D569" s="2">
        <v>24457</v>
      </c>
      <c r="E569" s="1" t="s">
        <v>249</v>
      </c>
      <c r="F569" s="1" t="s">
        <v>30</v>
      </c>
      <c r="G569" s="1" t="s">
        <v>53</v>
      </c>
      <c r="H569" s="1" t="s">
        <v>53</v>
      </c>
      <c r="I569" s="1" t="s">
        <v>72</v>
      </c>
      <c r="J569">
        <v>110366</v>
      </c>
      <c r="K569">
        <v>0</v>
      </c>
      <c r="L569">
        <v>0</v>
      </c>
      <c r="M569">
        <v>0</v>
      </c>
      <c r="N569">
        <v>3</v>
      </c>
      <c r="O569" s="1" t="s">
        <v>32</v>
      </c>
      <c r="P569">
        <v>1</v>
      </c>
      <c r="Q569">
        <v>0</v>
      </c>
      <c r="R569">
        <v>2</v>
      </c>
      <c r="S569">
        <v>5</v>
      </c>
      <c r="T569">
        <v>0</v>
      </c>
      <c r="U569">
        <f>IF(openpolis_patrimoni_trasparenti_anno_2014[[#This Row],[totale_730_dichiarante]]&lt;&gt;0,LOG10(openpolis_patrimoni_trasparenti_anno_2014[[#This Row],[totale_730_dichiarante]]), 0)</f>
        <v>5.0428353026811914</v>
      </c>
    </row>
    <row r="570" spans="1:21" x14ac:dyDescent="0.3">
      <c r="A570">
        <v>686012</v>
      </c>
      <c r="B570" s="1" t="s">
        <v>978</v>
      </c>
      <c r="C570" s="1" t="s">
        <v>979</v>
      </c>
      <c r="D570" s="2">
        <v>31515</v>
      </c>
      <c r="E570" s="1" t="s">
        <v>114</v>
      </c>
      <c r="F570" s="1" t="s">
        <v>30</v>
      </c>
      <c r="G570" s="1" t="s">
        <v>102</v>
      </c>
      <c r="H570" s="1" t="s">
        <v>102</v>
      </c>
      <c r="I570" s="1" t="s">
        <v>132</v>
      </c>
      <c r="J570">
        <v>78229.8</v>
      </c>
      <c r="K570">
        <v>0</v>
      </c>
      <c r="L570">
        <v>0</v>
      </c>
      <c r="M570">
        <v>0</v>
      </c>
      <c r="N570">
        <v>3</v>
      </c>
      <c r="O570" s="1" t="s">
        <v>90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f>IF(openpolis_patrimoni_trasparenti_anno_2014[[#This Row],[totale_730_dichiarante]]&lt;&gt;0,LOG10(openpolis_patrimoni_trasparenti_anno_2014[[#This Row],[totale_730_dichiarante]]), 0)</f>
        <v>4.893372219942977</v>
      </c>
    </row>
    <row r="571" spans="1:21" x14ac:dyDescent="0.3">
      <c r="A571">
        <v>20398</v>
      </c>
      <c r="B571" s="1" t="s">
        <v>341</v>
      </c>
      <c r="C571" s="1" t="s">
        <v>979</v>
      </c>
      <c r="D571" s="2">
        <v>26644</v>
      </c>
      <c r="E571" s="1" t="s">
        <v>114</v>
      </c>
      <c r="F571" s="1" t="s">
        <v>30</v>
      </c>
      <c r="G571" s="1" t="s">
        <v>126</v>
      </c>
      <c r="H571" s="1" t="s">
        <v>127</v>
      </c>
      <c r="I571" s="1" t="s">
        <v>132</v>
      </c>
      <c r="J571">
        <v>79230</v>
      </c>
      <c r="K571">
        <v>0</v>
      </c>
      <c r="L571">
        <v>0</v>
      </c>
      <c r="M571">
        <v>0</v>
      </c>
      <c r="N571">
        <v>3</v>
      </c>
      <c r="O571" s="1" t="s">
        <v>32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f>IF(openpolis_patrimoni_trasparenti_anno_2014[[#This Row],[totale_730_dichiarante]]&lt;&gt;0,LOG10(openpolis_patrimoni_trasparenti_anno_2014[[#This Row],[totale_730_dichiarante]]), 0)</f>
        <v>4.8988896559265864</v>
      </c>
    </row>
    <row r="572" spans="1:21" x14ac:dyDescent="0.3">
      <c r="A572">
        <v>4922</v>
      </c>
      <c r="B572" s="1" t="s">
        <v>980</v>
      </c>
      <c r="C572" s="1" t="s">
        <v>981</v>
      </c>
      <c r="D572" s="2">
        <v>19478</v>
      </c>
      <c r="E572" s="1" t="s">
        <v>63</v>
      </c>
      <c r="F572" s="1" t="s">
        <v>30</v>
      </c>
      <c r="G572" s="1" t="s">
        <v>24</v>
      </c>
      <c r="H572" s="1" t="s">
        <v>24</v>
      </c>
      <c r="I572" s="1" t="s">
        <v>76</v>
      </c>
      <c r="J572">
        <v>138424</v>
      </c>
      <c r="K572">
        <v>0</v>
      </c>
      <c r="L572">
        <v>0</v>
      </c>
      <c r="M572">
        <v>0</v>
      </c>
      <c r="N572">
        <v>3</v>
      </c>
      <c r="O572" s="1" t="s">
        <v>32</v>
      </c>
      <c r="P572">
        <v>5</v>
      </c>
      <c r="Q572">
        <v>0</v>
      </c>
      <c r="R572">
        <v>1</v>
      </c>
      <c r="S572">
        <v>2</v>
      </c>
      <c r="T572">
        <v>1</v>
      </c>
      <c r="U572">
        <f>IF(openpolis_patrimoni_trasparenti_anno_2014[[#This Row],[totale_730_dichiarante]]&lt;&gt;0,LOG10(openpolis_patrimoni_trasparenti_anno_2014[[#This Row],[totale_730_dichiarante]]), 0)</f>
        <v>5.1412113947734559</v>
      </c>
    </row>
    <row r="573" spans="1:21" x14ac:dyDescent="0.3">
      <c r="A573">
        <v>352306</v>
      </c>
      <c r="B573" s="1" t="s">
        <v>508</v>
      </c>
      <c r="C573" s="1" t="s">
        <v>982</v>
      </c>
      <c r="D573" s="2">
        <v>27096</v>
      </c>
      <c r="E573" s="1" t="s">
        <v>49</v>
      </c>
      <c r="F573" s="1" t="s">
        <v>30</v>
      </c>
      <c r="G573" s="1" t="s">
        <v>24</v>
      </c>
      <c r="H573" s="1" t="s">
        <v>24</v>
      </c>
      <c r="I573" s="1" t="s">
        <v>55</v>
      </c>
      <c r="J573">
        <v>81253</v>
      </c>
      <c r="K573">
        <v>0</v>
      </c>
      <c r="L573">
        <v>0</v>
      </c>
      <c r="M573">
        <v>0</v>
      </c>
      <c r="N573">
        <v>3</v>
      </c>
      <c r="O573" s="1" t="s">
        <v>32</v>
      </c>
      <c r="P573">
        <v>0</v>
      </c>
      <c r="Q573">
        <v>0</v>
      </c>
      <c r="R573">
        <v>1</v>
      </c>
      <c r="S573">
        <v>3</v>
      </c>
      <c r="T573">
        <v>0</v>
      </c>
      <c r="U573">
        <f>IF(openpolis_patrimoni_trasparenti_anno_2014[[#This Row],[totale_730_dichiarante]]&lt;&gt;0,LOG10(openpolis_patrimoni_trasparenti_anno_2014[[#This Row],[totale_730_dichiarante]]), 0)</f>
        <v>4.9098394048434422</v>
      </c>
    </row>
    <row r="574" spans="1:21" x14ac:dyDescent="0.3">
      <c r="A574">
        <v>332726</v>
      </c>
      <c r="B574" s="1" t="s">
        <v>983</v>
      </c>
      <c r="C574" s="1" t="s">
        <v>984</v>
      </c>
      <c r="D574" s="2">
        <v>28289</v>
      </c>
      <c r="E574" s="1" t="s">
        <v>156</v>
      </c>
      <c r="F574" s="1" t="s">
        <v>30</v>
      </c>
      <c r="G574" s="1" t="s">
        <v>36</v>
      </c>
      <c r="H574" s="1" t="s">
        <v>37</v>
      </c>
      <c r="I574" s="1" t="s">
        <v>169</v>
      </c>
      <c r="J574">
        <v>100657</v>
      </c>
      <c r="K574">
        <v>0</v>
      </c>
      <c r="L574">
        <v>0</v>
      </c>
      <c r="M574">
        <v>0</v>
      </c>
      <c r="N574">
        <v>3</v>
      </c>
      <c r="O574" s="1" t="s">
        <v>32</v>
      </c>
      <c r="P574">
        <v>1</v>
      </c>
      <c r="Q574">
        <v>0</v>
      </c>
      <c r="R574">
        <v>1</v>
      </c>
      <c r="S574">
        <v>0</v>
      </c>
      <c r="T574">
        <v>0</v>
      </c>
      <c r="U574">
        <f>IF(openpolis_patrimoni_trasparenti_anno_2014[[#This Row],[totale_730_dichiarante]]&lt;&gt;0,LOG10(openpolis_patrimoni_trasparenti_anno_2014[[#This Row],[totale_730_dichiarante]]), 0)</f>
        <v>5.0028439824602744</v>
      </c>
    </row>
    <row r="575" spans="1:21" x14ac:dyDescent="0.3">
      <c r="A575">
        <v>686267</v>
      </c>
      <c r="B575" s="1" t="s">
        <v>171</v>
      </c>
      <c r="C575" s="1" t="s">
        <v>495</v>
      </c>
      <c r="D575" s="2">
        <v>21437</v>
      </c>
      <c r="E575" s="1" t="s">
        <v>86</v>
      </c>
      <c r="F575" s="1" t="s">
        <v>30</v>
      </c>
      <c r="G575" s="1" t="s">
        <v>24</v>
      </c>
      <c r="H575" s="1" t="s">
        <v>24</v>
      </c>
      <c r="I575" s="1" t="s">
        <v>31</v>
      </c>
      <c r="J575">
        <v>89273</v>
      </c>
      <c r="K575">
        <v>0</v>
      </c>
      <c r="L575">
        <v>0</v>
      </c>
      <c r="M575">
        <v>0</v>
      </c>
      <c r="N575">
        <v>3</v>
      </c>
      <c r="O575" s="1" t="s">
        <v>32</v>
      </c>
      <c r="P575">
        <v>2</v>
      </c>
      <c r="Q575">
        <v>0</v>
      </c>
      <c r="R575">
        <v>1</v>
      </c>
      <c r="S575">
        <v>0</v>
      </c>
      <c r="T575">
        <v>0</v>
      </c>
      <c r="U575">
        <f>IF(openpolis_patrimoni_trasparenti_anno_2014[[#This Row],[totale_730_dichiarante]]&lt;&gt;0,LOG10(openpolis_patrimoni_trasparenti_anno_2014[[#This Row],[totale_730_dichiarante]]), 0)</f>
        <v>4.9507201293919181</v>
      </c>
    </row>
    <row r="576" spans="1:21" x14ac:dyDescent="0.3">
      <c r="A576">
        <v>453</v>
      </c>
      <c r="B576" s="1" t="s">
        <v>51</v>
      </c>
      <c r="C576" s="1" t="s">
        <v>985</v>
      </c>
      <c r="D576" s="2">
        <v>22395</v>
      </c>
      <c r="E576" s="1" t="s">
        <v>156</v>
      </c>
      <c r="F576" s="1" t="s">
        <v>30</v>
      </c>
      <c r="G576" s="1" t="s">
        <v>24</v>
      </c>
      <c r="H576" s="1" t="s">
        <v>24</v>
      </c>
      <c r="I576" s="1" t="s">
        <v>50</v>
      </c>
      <c r="J576">
        <v>127609</v>
      </c>
      <c r="K576">
        <v>0</v>
      </c>
      <c r="L576">
        <v>0</v>
      </c>
      <c r="M576">
        <v>0</v>
      </c>
      <c r="N576">
        <v>2</v>
      </c>
      <c r="O576" s="1" t="s">
        <v>43</v>
      </c>
      <c r="P576">
        <v>3</v>
      </c>
      <c r="Q576">
        <v>7</v>
      </c>
      <c r="R576">
        <v>1</v>
      </c>
      <c r="S576">
        <v>5</v>
      </c>
      <c r="T576">
        <v>0</v>
      </c>
      <c r="U576">
        <f>IF(openpolis_patrimoni_trasparenti_anno_2014[[#This Row],[totale_730_dichiarante]]&lt;&gt;0,LOG10(openpolis_patrimoni_trasparenti_anno_2014[[#This Row],[totale_730_dichiarante]]), 0)</f>
        <v>5.1058813053608434</v>
      </c>
    </row>
    <row r="577" spans="1:21" x14ac:dyDescent="0.3">
      <c r="A577">
        <v>73346</v>
      </c>
      <c r="B577" s="1" t="s">
        <v>986</v>
      </c>
      <c r="C577" s="1" t="s">
        <v>987</v>
      </c>
      <c r="D577" s="2">
        <v>25196</v>
      </c>
      <c r="E577" s="1" t="s">
        <v>41</v>
      </c>
      <c r="F577" s="1" t="s">
        <v>30</v>
      </c>
      <c r="G577" s="1" t="s">
        <v>24</v>
      </c>
      <c r="H577" s="1" t="s">
        <v>37</v>
      </c>
      <c r="I577" s="1" t="s">
        <v>38</v>
      </c>
      <c r="J577">
        <v>379172</v>
      </c>
      <c r="K577">
        <v>0</v>
      </c>
      <c r="L577">
        <v>0</v>
      </c>
      <c r="M577">
        <v>0</v>
      </c>
      <c r="N577">
        <v>3</v>
      </c>
      <c r="O577" s="1" t="s">
        <v>32</v>
      </c>
      <c r="P577">
        <v>8</v>
      </c>
      <c r="Q577">
        <v>22</v>
      </c>
      <c r="R577">
        <v>1</v>
      </c>
      <c r="S577">
        <v>3</v>
      </c>
      <c r="T577">
        <v>2</v>
      </c>
      <c r="U577">
        <f>IF(openpolis_patrimoni_trasparenti_anno_2014[[#This Row],[totale_730_dichiarante]]&lt;&gt;0,LOG10(openpolis_patrimoni_trasparenti_anno_2014[[#This Row],[totale_730_dichiarante]]), 0)</f>
        <v>5.5788362593240732</v>
      </c>
    </row>
    <row r="578" spans="1:21" x14ac:dyDescent="0.3">
      <c r="A578">
        <v>29025</v>
      </c>
      <c r="B578" s="1" t="s">
        <v>988</v>
      </c>
      <c r="C578" s="1" t="s">
        <v>989</v>
      </c>
      <c r="D578" s="2">
        <v>28247</v>
      </c>
      <c r="E578" s="1" t="s">
        <v>41</v>
      </c>
      <c r="F578" s="1" t="s">
        <v>30</v>
      </c>
      <c r="G578" s="1" t="s">
        <v>283</v>
      </c>
      <c r="H578" s="1" t="s">
        <v>54</v>
      </c>
      <c r="I578" s="1" t="s">
        <v>284</v>
      </c>
      <c r="J578">
        <v>148483</v>
      </c>
      <c r="K578">
        <v>0</v>
      </c>
      <c r="L578">
        <v>0</v>
      </c>
      <c r="M578">
        <v>0</v>
      </c>
      <c r="N578">
        <v>3</v>
      </c>
      <c r="O578" s="1" t="s">
        <v>32</v>
      </c>
      <c r="P578">
        <v>1</v>
      </c>
      <c r="Q578">
        <v>0</v>
      </c>
      <c r="R578">
        <v>1</v>
      </c>
      <c r="S578">
        <v>2</v>
      </c>
      <c r="T578">
        <v>0</v>
      </c>
      <c r="U578">
        <f>IF(openpolis_patrimoni_trasparenti_anno_2014[[#This Row],[totale_730_dichiarante]]&lt;&gt;0,LOG10(openpolis_patrimoni_trasparenti_anno_2014[[#This Row],[totale_730_dichiarante]]), 0)</f>
        <v>5.1716767335938307</v>
      </c>
    </row>
    <row r="579" spans="1:21" x14ac:dyDescent="0.3">
      <c r="A579">
        <v>445</v>
      </c>
      <c r="B579" s="1" t="s">
        <v>749</v>
      </c>
      <c r="C579" s="1" t="s">
        <v>990</v>
      </c>
      <c r="D579" s="2">
        <v>23009</v>
      </c>
      <c r="E579" s="1" t="s">
        <v>156</v>
      </c>
      <c r="F579" s="1" t="s">
        <v>30</v>
      </c>
      <c r="G579" s="1" t="s">
        <v>24</v>
      </c>
      <c r="H579" s="1" t="s">
        <v>24</v>
      </c>
      <c r="I579" s="1" t="s">
        <v>50</v>
      </c>
      <c r="J579">
        <v>148806</v>
      </c>
      <c r="K579">
        <v>0</v>
      </c>
      <c r="L579">
        <v>0</v>
      </c>
      <c r="M579">
        <v>0</v>
      </c>
      <c r="N579">
        <v>3</v>
      </c>
      <c r="O579" s="1" t="s">
        <v>32</v>
      </c>
      <c r="P579">
        <v>19</v>
      </c>
      <c r="Q579">
        <v>0</v>
      </c>
      <c r="R579">
        <v>1</v>
      </c>
      <c r="S579">
        <v>0</v>
      </c>
      <c r="T579">
        <v>0</v>
      </c>
      <c r="U579">
        <f>IF(openpolis_patrimoni_trasparenti_anno_2014[[#This Row],[totale_730_dichiarante]]&lt;&gt;0,LOG10(openpolis_patrimoni_trasparenti_anno_2014[[#This Row],[totale_730_dichiarante]]), 0)</f>
        <v>5.1726204427310778</v>
      </c>
    </row>
    <row r="580" spans="1:21" x14ac:dyDescent="0.3">
      <c r="A580">
        <v>332723</v>
      </c>
      <c r="B580" s="1" t="s">
        <v>355</v>
      </c>
      <c r="C580" s="1" t="s">
        <v>991</v>
      </c>
      <c r="D580" s="2">
        <v>21519</v>
      </c>
      <c r="E580" s="1" t="s">
        <v>35</v>
      </c>
      <c r="F580" s="1" t="s">
        <v>30</v>
      </c>
      <c r="G580" s="1" t="s">
        <v>36</v>
      </c>
      <c r="H580" s="1" t="s">
        <v>168</v>
      </c>
      <c r="I580" s="1" t="s">
        <v>38</v>
      </c>
      <c r="J580">
        <v>83041</v>
      </c>
      <c r="K580">
        <v>0</v>
      </c>
      <c r="L580">
        <v>0</v>
      </c>
      <c r="M580">
        <v>0</v>
      </c>
      <c r="N580">
        <v>3</v>
      </c>
      <c r="O580" s="1" t="s">
        <v>32</v>
      </c>
      <c r="P580">
        <v>3</v>
      </c>
      <c r="Q580">
        <v>2</v>
      </c>
      <c r="R580">
        <v>2</v>
      </c>
      <c r="S580">
        <v>2</v>
      </c>
      <c r="T580">
        <v>0</v>
      </c>
      <c r="U580">
        <f>IF(openpolis_patrimoni_trasparenti_anno_2014[[#This Row],[totale_730_dichiarante]]&lt;&gt;0,LOG10(openpolis_patrimoni_trasparenti_anno_2014[[#This Row],[totale_730_dichiarante]]), 0)</f>
        <v>4.9192925704160748</v>
      </c>
    </row>
    <row r="581" spans="1:21" x14ac:dyDescent="0.3">
      <c r="A581">
        <v>444</v>
      </c>
      <c r="B581" s="1" t="s">
        <v>215</v>
      </c>
      <c r="C581" s="1" t="s">
        <v>992</v>
      </c>
      <c r="D581" s="2">
        <v>22378</v>
      </c>
      <c r="E581" s="1" t="s">
        <v>136</v>
      </c>
      <c r="F581" s="1" t="s">
        <v>30</v>
      </c>
      <c r="G581" s="1" t="s">
        <v>36</v>
      </c>
      <c r="H581" s="1" t="s">
        <v>37</v>
      </c>
      <c r="I581" s="1" t="s">
        <v>118</v>
      </c>
      <c r="J581">
        <v>246778</v>
      </c>
      <c r="K581">
        <v>0</v>
      </c>
      <c r="L581">
        <v>0</v>
      </c>
      <c r="M581">
        <v>0</v>
      </c>
      <c r="N581">
        <v>3</v>
      </c>
      <c r="O581" s="1" t="s">
        <v>32</v>
      </c>
      <c r="P581">
        <v>2</v>
      </c>
      <c r="Q581">
        <v>0</v>
      </c>
      <c r="R581">
        <v>0</v>
      </c>
      <c r="S581">
        <v>4</v>
      </c>
      <c r="T581">
        <v>3</v>
      </c>
      <c r="U581">
        <f>IF(openpolis_patrimoni_trasparenti_anno_2014[[#This Row],[totale_730_dichiarante]]&lt;&gt;0,LOG10(openpolis_patrimoni_trasparenti_anno_2014[[#This Row],[totale_730_dichiarante]]), 0)</f>
        <v>5.3923064401891008</v>
      </c>
    </row>
    <row r="582" spans="1:21" x14ac:dyDescent="0.3">
      <c r="A582">
        <v>332722</v>
      </c>
      <c r="B582" s="1" t="s">
        <v>141</v>
      </c>
      <c r="C582" s="1" t="s">
        <v>993</v>
      </c>
      <c r="D582" s="2">
        <v>24311</v>
      </c>
      <c r="E582" s="1" t="s">
        <v>49</v>
      </c>
      <c r="F582" s="1" t="s">
        <v>30</v>
      </c>
      <c r="G582" s="1" t="s">
        <v>24</v>
      </c>
      <c r="H582" s="1" t="s">
        <v>24</v>
      </c>
      <c r="I582" s="1" t="s">
        <v>430</v>
      </c>
      <c r="J582">
        <v>98612</v>
      </c>
      <c r="K582">
        <v>0</v>
      </c>
      <c r="L582">
        <v>0</v>
      </c>
      <c r="M582">
        <v>0</v>
      </c>
      <c r="N582">
        <v>3</v>
      </c>
      <c r="O582" s="1" t="s">
        <v>32</v>
      </c>
      <c r="P582">
        <v>1</v>
      </c>
      <c r="Q582">
        <v>0</v>
      </c>
      <c r="R582">
        <v>0</v>
      </c>
      <c r="S582">
        <v>0</v>
      </c>
      <c r="T582">
        <v>0</v>
      </c>
      <c r="U582">
        <f>IF(openpolis_patrimoni_trasparenti_anno_2014[[#This Row],[totale_730_dichiarante]]&lt;&gt;0,LOG10(openpolis_patrimoni_trasparenti_anno_2014[[#This Row],[totale_730_dichiarante]]), 0)</f>
        <v>4.9939297670373239</v>
      </c>
    </row>
    <row r="583" spans="1:21" x14ac:dyDescent="0.3">
      <c r="A583">
        <v>388995</v>
      </c>
      <c r="B583" s="1" t="s">
        <v>870</v>
      </c>
      <c r="C583" s="1" t="s">
        <v>994</v>
      </c>
      <c r="D583" s="2">
        <v>24775</v>
      </c>
      <c r="E583" s="1" t="s">
        <v>49</v>
      </c>
      <c r="F583" s="1" t="s">
        <v>30</v>
      </c>
      <c r="G583" s="1" t="s">
        <v>36</v>
      </c>
      <c r="H583" s="1" t="s">
        <v>37</v>
      </c>
      <c r="I583" s="1" t="s">
        <v>169</v>
      </c>
      <c r="J583">
        <v>75535</v>
      </c>
      <c r="K583">
        <v>0</v>
      </c>
      <c r="L583">
        <v>0</v>
      </c>
      <c r="M583">
        <v>0</v>
      </c>
      <c r="N583">
        <v>3</v>
      </c>
      <c r="O583" s="1" t="s">
        <v>32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f>IF(openpolis_patrimoni_trasparenti_anno_2014[[#This Row],[totale_730_dichiarante]]&lt;&gt;0,LOG10(openpolis_patrimoni_trasparenti_anno_2014[[#This Row],[totale_730_dichiarante]]), 0)</f>
        <v>4.8781482335458133</v>
      </c>
    </row>
    <row r="584" spans="1:21" x14ac:dyDescent="0.3">
      <c r="A584">
        <v>4534</v>
      </c>
      <c r="B584" s="1" t="s">
        <v>956</v>
      </c>
      <c r="C584" s="1" t="s">
        <v>995</v>
      </c>
      <c r="D584" s="2">
        <v>21555</v>
      </c>
      <c r="E584" s="1" t="s">
        <v>41</v>
      </c>
      <c r="F584" s="1" t="s">
        <v>30</v>
      </c>
      <c r="G584" s="1" t="s">
        <v>24</v>
      </c>
      <c r="H584" s="1" t="s">
        <v>24</v>
      </c>
      <c r="I584" s="1" t="s">
        <v>72</v>
      </c>
      <c r="J584">
        <v>74908</v>
      </c>
      <c r="K584">
        <v>0</v>
      </c>
      <c r="L584">
        <v>0</v>
      </c>
      <c r="M584">
        <v>0</v>
      </c>
      <c r="N584">
        <v>3</v>
      </c>
      <c r="O584" s="1" t="s">
        <v>32</v>
      </c>
      <c r="P584">
        <v>2</v>
      </c>
      <c r="Q584">
        <v>0</v>
      </c>
      <c r="R584">
        <v>2</v>
      </c>
      <c r="S584">
        <v>0</v>
      </c>
      <c r="T584">
        <v>0</v>
      </c>
      <c r="U584">
        <f>IF(openpolis_patrimoni_trasparenti_anno_2014[[#This Row],[totale_730_dichiarante]]&lt;&gt;0,LOG10(openpolis_patrimoni_trasparenti_anno_2014[[#This Row],[totale_730_dichiarante]]), 0)</f>
        <v>4.8745282018159157</v>
      </c>
    </row>
    <row r="585" spans="1:21" x14ac:dyDescent="0.3">
      <c r="A585">
        <v>686133</v>
      </c>
      <c r="B585" s="1" t="s">
        <v>192</v>
      </c>
      <c r="C585" s="1" t="s">
        <v>996</v>
      </c>
      <c r="D585" s="2">
        <v>28389</v>
      </c>
      <c r="E585" s="1" t="s">
        <v>29</v>
      </c>
      <c r="F585" s="1" t="s">
        <v>30</v>
      </c>
      <c r="G585" s="1" t="s">
        <v>102</v>
      </c>
      <c r="H585" s="1" t="s">
        <v>102</v>
      </c>
      <c r="I585" s="1" t="s">
        <v>264</v>
      </c>
      <c r="J585">
        <v>78230</v>
      </c>
      <c r="K585">
        <v>0</v>
      </c>
      <c r="L585">
        <v>0</v>
      </c>
      <c r="M585">
        <v>0</v>
      </c>
      <c r="N585">
        <v>3</v>
      </c>
      <c r="O585" s="1" t="s">
        <v>32</v>
      </c>
      <c r="P585">
        <v>1</v>
      </c>
      <c r="Q585">
        <v>0</v>
      </c>
      <c r="R585">
        <v>0</v>
      </c>
      <c r="S585">
        <v>0</v>
      </c>
      <c r="T585">
        <v>0</v>
      </c>
      <c r="U585">
        <f>IF(openpolis_patrimoni_trasparenti_anno_2014[[#This Row],[totale_730_dichiarante]]&lt;&gt;0,LOG10(openpolis_patrimoni_trasparenti_anno_2014[[#This Row],[totale_730_dichiarante]]), 0)</f>
        <v>4.8933733302460247</v>
      </c>
    </row>
    <row r="586" spans="1:21" x14ac:dyDescent="0.3">
      <c r="A586">
        <v>686290</v>
      </c>
      <c r="B586" s="1" t="s">
        <v>997</v>
      </c>
      <c r="C586" s="1" t="s">
        <v>234</v>
      </c>
      <c r="D586" s="2">
        <v>18700</v>
      </c>
      <c r="E586" s="1" t="s">
        <v>29</v>
      </c>
      <c r="F586" s="1" t="s">
        <v>30</v>
      </c>
      <c r="G586" s="1" t="s">
        <v>24</v>
      </c>
      <c r="H586" s="1" t="s">
        <v>24</v>
      </c>
      <c r="I586" s="1" t="s">
        <v>64</v>
      </c>
      <c r="J586">
        <v>347889</v>
      </c>
      <c r="K586">
        <v>0</v>
      </c>
      <c r="L586">
        <v>0</v>
      </c>
      <c r="M586">
        <v>0</v>
      </c>
      <c r="N586">
        <v>3</v>
      </c>
      <c r="O586" s="1" t="s">
        <v>32</v>
      </c>
      <c r="P586">
        <v>2</v>
      </c>
      <c r="Q586">
        <v>0</v>
      </c>
      <c r="R586">
        <v>1</v>
      </c>
      <c r="S586">
        <v>0</v>
      </c>
      <c r="T586">
        <v>1</v>
      </c>
      <c r="U586">
        <f>IF(openpolis_patrimoni_trasparenti_anno_2014[[#This Row],[totale_730_dichiarante]]&lt;&gt;0,LOG10(openpolis_patrimoni_trasparenti_anno_2014[[#This Row],[totale_730_dichiarante]]), 0)</f>
        <v>5.5414406968854832</v>
      </c>
    </row>
    <row r="587" spans="1:21" x14ac:dyDescent="0.3">
      <c r="A587">
        <v>686737</v>
      </c>
      <c r="B587" s="1" t="s">
        <v>998</v>
      </c>
      <c r="C587" s="1" t="s">
        <v>999</v>
      </c>
      <c r="D587" s="2">
        <v>23210</v>
      </c>
      <c r="E587" s="1" t="s">
        <v>35</v>
      </c>
      <c r="F587" s="1" t="s">
        <v>30</v>
      </c>
      <c r="G587" s="1" t="s">
        <v>25</v>
      </c>
      <c r="H587" s="1" t="s">
        <v>68</v>
      </c>
      <c r="I587" s="1" t="s">
        <v>173</v>
      </c>
      <c r="J587">
        <v>80301</v>
      </c>
      <c r="K587">
        <v>0</v>
      </c>
      <c r="L587">
        <v>0</v>
      </c>
      <c r="M587">
        <v>0</v>
      </c>
      <c r="N587">
        <v>3</v>
      </c>
      <c r="O587" s="1" t="s">
        <v>32</v>
      </c>
      <c r="P587">
        <v>0</v>
      </c>
      <c r="Q587">
        <v>0</v>
      </c>
      <c r="R587">
        <v>1</v>
      </c>
      <c r="S587">
        <v>1</v>
      </c>
      <c r="T587">
        <v>1</v>
      </c>
      <c r="U587">
        <f>IF(openpolis_patrimoni_trasparenti_anno_2014[[#This Row],[totale_730_dichiarante]]&lt;&gt;0,LOG10(openpolis_patrimoni_trasparenti_anno_2014[[#This Row],[totale_730_dichiarante]]), 0)</f>
        <v>4.9047209536445306</v>
      </c>
    </row>
    <row r="588" spans="1:21" x14ac:dyDescent="0.3">
      <c r="A588">
        <v>4593</v>
      </c>
      <c r="B588" s="1" t="s">
        <v>341</v>
      </c>
      <c r="C588" s="1" t="s">
        <v>1000</v>
      </c>
      <c r="D588" s="2">
        <v>20708</v>
      </c>
      <c r="E588" s="1" t="s">
        <v>35</v>
      </c>
      <c r="F588" s="1" t="s">
        <v>30</v>
      </c>
      <c r="G588" s="1" t="s">
        <v>36</v>
      </c>
      <c r="H588" s="1" t="s">
        <v>37</v>
      </c>
      <c r="I588" s="1" t="s">
        <v>55</v>
      </c>
      <c r="J588">
        <v>112772</v>
      </c>
      <c r="K588">
        <v>0</v>
      </c>
      <c r="L588">
        <v>0</v>
      </c>
      <c r="M588">
        <v>0</v>
      </c>
      <c r="N588">
        <v>3</v>
      </c>
      <c r="O588" s="1" t="s">
        <v>32</v>
      </c>
      <c r="P588">
        <v>4</v>
      </c>
      <c r="Q588">
        <v>1</v>
      </c>
      <c r="R588">
        <v>8</v>
      </c>
      <c r="S588">
        <v>3</v>
      </c>
      <c r="T588">
        <v>1</v>
      </c>
      <c r="U588">
        <f>IF(openpolis_patrimoni_trasparenti_anno_2014[[#This Row],[totale_730_dichiarante]]&lt;&gt;0,LOG10(openpolis_patrimoni_trasparenti_anno_2014[[#This Row],[totale_730_dichiarante]]), 0)</f>
        <v>5.0522012826704312</v>
      </c>
    </row>
    <row r="589" spans="1:21" x14ac:dyDescent="0.3">
      <c r="A589">
        <v>686712</v>
      </c>
      <c r="B589" s="1" t="s">
        <v>201</v>
      </c>
      <c r="C589" s="1" t="s">
        <v>1001</v>
      </c>
      <c r="D589" s="2">
        <v>29910</v>
      </c>
      <c r="E589" s="1" t="s">
        <v>49</v>
      </c>
      <c r="F589" s="1" t="s">
        <v>30</v>
      </c>
      <c r="G589" s="1" t="s">
        <v>102</v>
      </c>
      <c r="H589" s="1" t="s">
        <v>102</v>
      </c>
      <c r="I589" s="1" t="s">
        <v>46</v>
      </c>
      <c r="J589">
        <v>82326</v>
      </c>
      <c r="K589">
        <v>0</v>
      </c>
      <c r="L589">
        <v>0</v>
      </c>
      <c r="M589">
        <v>0</v>
      </c>
      <c r="N589">
        <v>3</v>
      </c>
      <c r="O589" s="1" t="s">
        <v>32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f>IF(openpolis_patrimoni_trasparenti_anno_2014[[#This Row],[totale_730_dichiarante]]&lt;&gt;0,LOG10(openpolis_patrimoni_trasparenti_anno_2014[[#This Row],[totale_730_dichiarante]]), 0)</f>
        <v>4.9155370147176134</v>
      </c>
    </row>
    <row r="590" spans="1:21" x14ac:dyDescent="0.3">
      <c r="A590">
        <v>384779</v>
      </c>
      <c r="B590" s="1" t="s">
        <v>65</v>
      </c>
      <c r="C590" s="1" t="s">
        <v>1002</v>
      </c>
      <c r="D590" s="2">
        <v>25464</v>
      </c>
      <c r="E590" s="1" t="s">
        <v>49</v>
      </c>
      <c r="F590" s="1" t="s">
        <v>30</v>
      </c>
      <c r="G590" s="1" t="s">
        <v>24</v>
      </c>
      <c r="H590" s="1" t="s">
        <v>24</v>
      </c>
      <c r="I590" s="1" t="s">
        <v>76</v>
      </c>
      <c r="J590">
        <v>82054</v>
      </c>
      <c r="K590">
        <v>0</v>
      </c>
      <c r="L590">
        <v>0</v>
      </c>
      <c r="M590">
        <v>0</v>
      </c>
      <c r="N590">
        <v>3</v>
      </c>
      <c r="O590" s="1" t="s">
        <v>61</v>
      </c>
      <c r="P590">
        <v>3</v>
      </c>
      <c r="Q590">
        <v>0</v>
      </c>
      <c r="R590">
        <v>1</v>
      </c>
      <c r="S590">
        <v>2</v>
      </c>
      <c r="T590">
        <v>1</v>
      </c>
      <c r="U590">
        <f>IF(openpolis_patrimoni_trasparenti_anno_2014[[#This Row],[totale_730_dichiarante]]&lt;&gt;0,LOG10(openpolis_patrimoni_trasparenti_anno_2014[[#This Row],[totale_730_dichiarante]]), 0)</f>
        <v>4.9140997570598568</v>
      </c>
    </row>
    <row r="591" spans="1:21" x14ac:dyDescent="0.3">
      <c r="A591">
        <v>686475</v>
      </c>
      <c r="B591" s="1" t="s">
        <v>451</v>
      </c>
      <c r="C591" s="1" t="s">
        <v>1003</v>
      </c>
      <c r="D591" s="2">
        <v>27968</v>
      </c>
      <c r="E591" s="1" t="s">
        <v>49</v>
      </c>
      <c r="F591" s="1" t="s">
        <v>30</v>
      </c>
      <c r="G591" s="1" t="s">
        <v>102</v>
      </c>
      <c r="H591" s="1" t="s">
        <v>54</v>
      </c>
      <c r="I591" s="1" t="s">
        <v>115</v>
      </c>
      <c r="J591">
        <v>78229.8</v>
      </c>
      <c r="K591">
        <v>0</v>
      </c>
      <c r="L591">
        <v>0</v>
      </c>
      <c r="M591">
        <v>0</v>
      </c>
      <c r="N591">
        <v>3</v>
      </c>
      <c r="O591" s="1" t="s">
        <v>90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f>IF(openpolis_patrimoni_trasparenti_anno_2014[[#This Row],[totale_730_dichiarante]]&lt;&gt;0,LOG10(openpolis_patrimoni_trasparenti_anno_2014[[#This Row],[totale_730_dichiarante]]), 0)</f>
        <v>4.893372219942977</v>
      </c>
    </row>
    <row r="592" spans="1:21" x14ac:dyDescent="0.3">
      <c r="A592">
        <v>221790</v>
      </c>
      <c r="B592" s="1" t="s">
        <v>1004</v>
      </c>
      <c r="C592" s="1" t="s">
        <v>1005</v>
      </c>
      <c r="D592" s="2">
        <v>19271</v>
      </c>
      <c r="E592" s="1" t="s">
        <v>75</v>
      </c>
      <c r="F592" s="1" t="s">
        <v>30</v>
      </c>
      <c r="G592" s="1" t="s">
        <v>36</v>
      </c>
      <c r="H592" s="1" t="s">
        <v>54</v>
      </c>
      <c r="I592" s="1" t="s">
        <v>115</v>
      </c>
      <c r="J592">
        <v>92464</v>
      </c>
      <c r="K592">
        <v>0</v>
      </c>
      <c r="L592">
        <v>0</v>
      </c>
      <c r="M592">
        <v>0</v>
      </c>
      <c r="N592">
        <v>3</v>
      </c>
      <c r="O592" s="1" t="s">
        <v>32</v>
      </c>
      <c r="P592">
        <v>4</v>
      </c>
      <c r="Q592">
        <v>1</v>
      </c>
      <c r="R592">
        <v>1</v>
      </c>
      <c r="S592">
        <v>0</v>
      </c>
      <c r="T592">
        <v>0</v>
      </c>
      <c r="U592">
        <f>IF(openpolis_patrimoni_trasparenti_anno_2014[[#This Row],[totale_730_dichiarante]]&lt;&gt;0,LOG10(openpolis_patrimoni_trasparenti_anno_2014[[#This Row],[totale_730_dichiarante]]), 0)</f>
        <v>4.9659726771223083</v>
      </c>
    </row>
    <row r="593" spans="1:21" x14ac:dyDescent="0.3">
      <c r="A593">
        <v>687357</v>
      </c>
      <c r="B593" s="1" t="s">
        <v>267</v>
      </c>
      <c r="C593" s="1" t="s">
        <v>1006</v>
      </c>
      <c r="D593" s="2">
        <v>31338</v>
      </c>
      <c r="E593" s="1" t="s">
        <v>114</v>
      </c>
      <c r="F593" s="1" t="s">
        <v>30</v>
      </c>
      <c r="G593" s="1" t="s">
        <v>102</v>
      </c>
      <c r="H593" s="1" t="s">
        <v>102</v>
      </c>
      <c r="I593" s="1" t="s">
        <v>159</v>
      </c>
      <c r="J593">
        <v>78229.8</v>
      </c>
      <c r="K593">
        <v>0</v>
      </c>
      <c r="L593">
        <v>0</v>
      </c>
      <c r="M593">
        <v>0</v>
      </c>
      <c r="N593">
        <v>3</v>
      </c>
      <c r="O593" s="1" t="s">
        <v>90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f>IF(openpolis_patrimoni_trasparenti_anno_2014[[#This Row],[totale_730_dichiarante]]&lt;&gt;0,LOG10(openpolis_patrimoni_trasparenti_anno_2014[[#This Row],[totale_730_dichiarante]]), 0)</f>
        <v>4.893372219942977</v>
      </c>
    </row>
    <row r="594" spans="1:21" x14ac:dyDescent="0.3">
      <c r="A594">
        <v>475647</v>
      </c>
      <c r="B594" s="1" t="s">
        <v>978</v>
      </c>
      <c r="C594" s="1" t="s">
        <v>1007</v>
      </c>
      <c r="D594" s="2">
        <v>26323</v>
      </c>
      <c r="E594" s="1" t="s">
        <v>49</v>
      </c>
      <c r="F594" s="1" t="s">
        <v>30</v>
      </c>
      <c r="G594" s="1" t="s">
        <v>24</v>
      </c>
      <c r="H594" s="1" t="s">
        <v>24</v>
      </c>
      <c r="I594" s="1" t="s">
        <v>200</v>
      </c>
      <c r="J594">
        <v>78230</v>
      </c>
      <c r="K594">
        <v>0</v>
      </c>
      <c r="L594">
        <v>0</v>
      </c>
      <c r="M594">
        <v>0</v>
      </c>
      <c r="N594">
        <v>3</v>
      </c>
      <c r="O594" s="1" t="s">
        <v>32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f>IF(openpolis_patrimoni_trasparenti_anno_2014[[#This Row],[totale_730_dichiarante]]&lt;&gt;0,LOG10(openpolis_patrimoni_trasparenti_anno_2014[[#This Row],[totale_730_dichiarante]]), 0)</f>
        <v>4.8933733302460247</v>
      </c>
    </row>
    <row r="595" spans="1:21" x14ac:dyDescent="0.3">
      <c r="A595">
        <v>423</v>
      </c>
      <c r="B595" s="1" t="s">
        <v>326</v>
      </c>
      <c r="C595" s="1" t="s">
        <v>1008</v>
      </c>
      <c r="D595" s="2">
        <v>21477</v>
      </c>
      <c r="E595" s="1" t="s">
        <v>41</v>
      </c>
      <c r="F595" s="1" t="s">
        <v>176</v>
      </c>
      <c r="G595" s="1" t="s">
        <v>177</v>
      </c>
      <c r="H595" s="1" t="s">
        <v>25</v>
      </c>
      <c r="I595" s="1" t="s">
        <v>111</v>
      </c>
      <c r="J595">
        <v>195754</v>
      </c>
      <c r="K595">
        <v>0</v>
      </c>
      <c r="L595">
        <v>0</v>
      </c>
      <c r="M595">
        <v>0</v>
      </c>
      <c r="N595">
        <v>2</v>
      </c>
      <c r="O595" s="1" t="s">
        <v>43</v>
      </c>
      <c r="P595">
        <v>4</v>
      </c>
      <c r="Q595">
        <v>0</v>
      </c>
      <c r="R595">
        <v>3</v>
      </c>
      <c r="S595">
        <v>1</v>
      </c>
      <c r="T595">
        <v>0</v>
      </c>
      <c r="U595">
        <f>IF(openpolis_patrimoni_trasparenti_anno_2014[[#This Row],[totale_730_dichiarante]]&lt;&gt;0,LOG10(openpolis_patrimoni_trasparenti_anno_2014[[#This Row],[totale_730_dichiarante]]), 0)</f>
        <v>5.2917106451114826</v>
      </c>
    </row>
    <row r="596" spans="1:21" x14ac:dyDescent="0.3">
      <c r="A596">
        <v>182044</v>
      </c>
      <c r="B596" s="1" t="s">
        <v>1009</v>
      </c>
      <c r="C596" s="1" t="s">
        <v>1010</v>
      </c>
      <c r="D596" s="2">
        <v>26878</v>
      </c>
      <c r="E596" s="1" t="s">
        <v>49</v>
      </c>
      <c r="F596" s="1" t="s">
        <v>30</v>
      </c>
      <c r="G596" s="1" t="s">
        <v>24</v>
      </c>
      <c r="H596" s="1" t="s">
        <v>24</v>
      </c>
      <c r="I596" s="1" t="s">
        <v>72</v>
      </c>
      <c r="J596">
        <v>89346</v>
      </c>
      <c r="K596">
        <v>0</v>
      </c>
      <c r="L596">
        <v>0</v>
      </c>
      <c r="M596">
        <v>0</v>
      </c>
      <c r="N596">
        <v>2</v>
      </c>
      <c r="O596" s="1" t="s">
        <v>43</v>
      </c>
      <c r="P596">
        <v>1</v>
      </c>
      <c r="Q596">
        <v>1</v>
      </c>
      <c r="R596">
        <v>1</v>
      </c>
      <c r="S596">
        <v>0</v>
      </c>
      <c r="T596">
        <v>0</v>
      </c>
      <c r="U596">
        <f>IF(openpolis_patrimoni_trasparenti_anno_2014[[#This Row],[totale_730_dichiarante]]&lt;&gt;0,LOG10(openpolis_patrimoni_trasparenti_anno_2014[[#This Row],[totale_730_dichiarante]]), 0)</f>
        <v>4.9510751140121885</v>
      </c>
    </row>
    <row r="597" spans="1:21" x14ac:dyDescent="0.3">
      <c r="A597">
        <v>498902</v>
      </c>
      <c r="B597" s="1" t="s">
        <v>219</v>
      </c>
      <c r="C597" s="1" t="s">
        <v>1011</v>
      </c>
      <c r="D597" s="2">
        <v>26576</v>
      </c>
      <c r="E597" s="1" t="s">
        <v>22</v>
      </c>
      <c r="F597" s="1" t="s">
        <v>30</v>
      </c>
      <c r="G597" s="1" t="s">
        <v>126</v>
      </c>
      <c r="H597" s="1" t="s">
        <v>127</v>
      </c>
      <c r="I597" s="1" t="s">
        <v>115</v>
      </c>
      <c r="J597">
        <v>100047</v>
      </c>
      <c r="K597">
        <v>0</v>
      </c>
      <c r="L597">
        <v>0</v>
      </c>
      <c r="M597">
        <v>0</v>
      </c>
      <c r="N597">
        <v>2</v>
      </c>
      <c r="O597" s="1" t="s">
        <v>43</v>
      </c>
      <c r="P597">
        <v>0</v>
      </c>
      <c r="Q597">
        <v>0</v>
      </c>
      <c r="R597">
        <v>2</v>
      </c>
      <c r="S597">
        <v>0</v>
      </c>
      <c r="T597">
        <v>0</v>
      </c>
      <c r="U597">
        <f>IF(openpolis_patrimoni_trasparenti_anno_2014[[#This Row],[totale_730_dichiarante]]&lt;&gt;0,LOG10(openpolis_patrimoni_trasparenti_anno_2014[[#This Row],[totale_730_dichiarante]]), 0)</f>
        <v>5.0002040704536936</v>
      </c>
    </row>
    <row r="598" spans="1:21" x14ac:dyDescent="0.3">
      <c r="A598">
        <v>4799</v>
      </c>
      <c r="B598" s="1" t="s">
        <v>207</v>
      </c>
      <c r="C598" s="1" t="s">
        <v>1012</v>
      </c>
      <c r="D598" s="2">
        <v>22074</v>
      </c>
      <c r="E598" s="1" t="s">
        <v>35</v>
      </c>
      <c r="F598" s="1" t="s">
        <v>30</v>
      </c>
      <c r="G598" s="1" t="s">
        <v>24</v>
      </c>
      <c r="H598" s="1" t="s">
        <v>24</v>
      </c>
      <c r="I598" s="1" t="s">
        <v>46</v>
      </c>
      <c r="J598">
        <v>93509</v>
      </c>
      <c r="K598">
        <v>0</v>
      </c>
      <c r="L598">
        <v>0</v>
      </c>
      <c r="M598">
        <v>0</v>
      </c>
      <c r="N598">
        <v>3</v>
      </c>
      <c r="O598" s="1" t="s">
        <v>32</v>
      </c>
      <c r="P598">
        <v>1</v>
      </c>
      <c r="Q598">
        <v>0</v>
      </c>
      <c r="R598">
        <v>1</v>
      </c>
      <c r="S598">
        <v>0</v>
      </c>
      <c r="T598">
        <v>0</v>
      </c>
      <c r="U598">
        <f>IF(openpolis_patrimoni_trasparenti_anno_2014[[#This Row],[totale_730_dichiarante]]&lt;&gt;0,LOG10(openpolis_patrimoni_trasparenti_anno_2014[[#This Row],[totale_730_dichiarante]]), 0)</f>
        <v>4.9708534126076227</v>
      </c>
    </row>
    <row r="599" spans="1:21" x14ac:dyDescent="0.3">
      <c r="A599">
        <v>687245</v>
      </c>
      <c r="B599" s="1" t="s">
        <v>294</v>
      </c>
      <c r="C599" s="1" t="s">
        <v>1013</v>
      </c>
      <c r="D599" s="2">
        <v>29599</v>
      </c>
      <c r="E599" s="1" t="s">
        <v>49</v>
      </c>
      <c r="F599" s="1" t="s">
        <v>30</v>
      </c>
      <c r="G599" s="1" t="s">
        <v>102</v>
      </c>
      <c r="H599" s="1" t="s">
        <v>102</v>
      </c>
      <c r="I599" s="1" t="s">
        <v>284</v>
      </c>
      <c r="J599">
        <v>87524</v>
      </c>
      <c r="K599">
        <v>0</v>
      </c>
      <c r="L599">
        <v>0</v>
      </c>
      <c r="M599">
        <v>0</v>
      </c>
      <c r="N599">
        <v>2</v>
      </c>
      <c r="O599" s="1" t="s">
        <v>43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f>IF(openpolis_patrimoni_trasparenti_anno_2014[[#This Row],[totale_730_dichiarante]]&lt;&gt;0,LOG10(openpolis_patrimoni_trasparenti_anno_2014[[#This Row],[totale_730_dichiarante]]), 0)</f>
        <v>4.9421271574609165</v>
      </c>
    </row>
    <row r="600" spans="1:21" x14ac:dyDescent="0.3">
      <c r="A600">
        <v>1573</v>
      </c>
      <c r="B600" s="1" t="s">
        <v>1014</v>
      </c>
      <c r="C600" s="1" t="s">
        <v>1015</v>
      </c>
      <c r="D600" s="2">
        <v>19885</v>
      </c>
      <c r="E600" s="1" t="s">
        <v>41</v>
      </c>
      <c r="F600" s="1" t="s">
        <v>30</v>
      </c>
      <c r="G600" s="1" t="s">
        <v>147</v>
      </c>
      <c r="H600" s="1" t="s">
        <v>54</v>
      </c>
      <c r="I600" s="1" t="s">
        <v>264</v>
      </c>
      <c r="J600">
        <v>101162</v>
      </c>
      <c r="K600">
        <v>0</v>
      </c>
      <c r="L600">
        <v>0</v>
      </c>
      <c r="M600">
        <v>0</v>
      </c>
      <c r="N600">
        <v>3</v>
      </c>
      <c r="O600" s="1" t="s">
        <v>32</v>
      </c>
      <c r="P600">
        <v>6</v>
      </c>
      <c r="Q600">
        <v>0</v>
      </c>
      <c r="R600">
        <v>3</v>
      </c>
      <c r="S600">
        <v>0</v>
      </c>
      <c r="T600">
        <v>0</v>
      </c>
      <c r="U600">
        <f>IF(openpolis_patrimoni_trasparenti_anno_2014[[#This Row],[totale_730_dichiarante]]&lt;&gt;0,LOG10(openpolis_patrimoni_trasparenti_anno_2014[[#This Row],[totale_730_dichiarante]]), 0)</f>
        <v>5.0050174068761795</v>
      </c>
    </row>
    <row r="601" spans="1:21" x14ac:dyDescent="0.3">
      <c r="A601">
        <v>118198</v>
      </c>
      <c r="B601" s="1" t="s">
        <v>44</v>
      </c>
      <c r="C601" s="1" t="s">
        <v>1016</v>
      </c>
      <c r="D601" s="2">
        <v>19545</v>
      </c>
      <c r="E601" s="1" t="s">
        <v>49</v>
      </c>
      <c r="F601" s="1" t="s">
        <v>30</v>
      </c>
      <c r="G601" s="1" t="s">
        <v>24</v>
      </c>
      <c r="H601" s="1" t="s">
        <v>24</v>
      </c>
      <c r="I601" s="1" t="s">
        <v>46</v>
      </c>
      <c r="J601">
        <v>155143</v>
      </c>
      <c r="K601">
        <v>0</v>
      </c>
      <c r="L601">
        <v>0</v>
      </c>
      <c r="M601">
        <v>0</v>
      </c>
      <c r="N601">
        <v>3</v>
      </c>
      <c r="O601" s="1" t="s">
        <v>32</v>
      </c>
      <c r="P601">
        <v>2</v>
      </c>
      <c r="Q601">
        <v>0</v>
      </c>
      <c r="R601">
        <v>1</v>
      </c>
      <c r="S601">
        <v>0</v>
      </c>
      <c r="T601">
        <v>0</v>
      </c>
      <c r="U601">
        <f>IF(openpolis_patrimoni_trasparenti_anno_2014[[#This Row],[totale_730_dichiarante]]&lt;&gt;0,LOG10(openpolis_patrimoni_trasparenti_anno_2014[[#This Row],[totale_730_dichiarante]]), 0)</f>
        <v>5.1907321851412247</v>
      </c>
    </row>
    <row r="602" spans="1:21" x14ac:dyDescent="0.3">
      <c r="A602">
        <v>417</v>
      </c>
      <c r="B602" s="1" t="s">
        <v>1017</v>
      </c>
      <c r="C602" s="1" t="s">
        <v>1018</v>
      </c>
      <c r="D602" s="2">
        <v>23324</v>
      </c>
      <c r="E602" s="1" t="s">
        <v>156</v>
      </c>
      <c r="F602" s="1" t="s">
        <v>30</v>
      </c>
      <c r="G602" s="1" t="s">
        <v>36</v>
      </c>
      <c r="H602" s="1" t="s">
        <v>37</v>
      </c>
      <c r="I602" s="1" t="s">
        <v>72</v>
      </c>
      <c r="J602">
        <v>135417</v>
      </c>
      <c r="K602">
        <v>0</v>
      </c>
      <c r="L602">
        <v>0</v>
      </c>
      <c r="M602">
        <v>0</v>
      </c>
      <c r="N602">
        <v>3</v>
      </c>
      <c r="O602" s="1" t="s">
        <v>32</v>
      </c>
      <c r="P602">
        <v>0</v>
      </c>
      <c r="Q602">
        <v>0</v>
      </c>
      <c r="R602">
        <v>3</v>
      </c>
      <c r="S602">
        <v>1</v>
      </c>
      <c r="T602">
        <v>0</v>
      </c>
      <c r="U602">
        <f>IF(openpolis_patrimoni_trasparenti_anno_2014[[#This Row],[totale_730_dichiarante]]&lt;&gt;0,LOG10(openpolis_patrimoni_trasparenti_anno_2014[[#This Row],[totale_730_dichiarante]]), 0)</f>
        <v>5.1316731882985236</v>
      </c>
    </row>
    <row r="603" spans="1:21" x14ac:dyDescent="0.3">
      <c r="A603">
        <v>409</v>
      </c>
      <c r="B603" s="1" t="s">
        <v>84</v>
      </c>
      <c r="C603" s="1" t="s">
        <v>1019</v>
      </c>
      <c r="D603" s="2">
        <v>21472</v>
      </c>
      <c r="E603" s="1" t="s">
        <v>75</v>
      </c>
      <c r="F603" s="1" t="s">
        <v>30</v>
      </c>
      <c r="G603" s="1" t="s">
        <v>24</v>
      </c>
      <c r="H603" s="1" t="s">
        <v>24</v>
      </c>
      <c r="I603" s="1" t="s">
        <v>159</v>
      </c>
      <c r="J603">
        <v>109902</v>
      </c>
      <c r="K603">
        <v>0</v>
      </c>
      <c r="L603">
        <v>0</v>
      </c>
      <c r="M603">
        <v>0</v>
      </c>
      <c r="N603">
        <v>3</v>
      </c>
      <c r="O603" s="1" t="s">
        <v>32</v>
      </c>
      <c r="P603">
        <v>17</v>
      </c>
      <c r="Q603">
        <v>5</v>
      </c>
      <c r="R603">
        <v>3</v>
      </c>
      <c r="S603">
        <v>0</v>
      </c>
      <c r="T603">
        <v>0</v>
      </c>
      <c r="U603">
        <f>IF(openpolis_patrimoni_trasparenti_anno_2014[[#This Row],[totale_730_dichiarante]]&lt;&gt;0,LOG10(openpolis_patrimoni_trasparenti_anno_2014[[#This Row],[totale_730_dichiarante]]), 0)</f>
        <v>5.0410055957998372</v>
      </c>
    </row>
    <row r="604" spans="1:21" x14ac:dyDescent="0.3">
      <c r="A604">
        <v>408</v>
      </c>
      <c r="B604" s="1" t="s">
        <v>415</v>
      </c>
      <c r="C604" s="1" t="s">
        <v>1020</v>
      </c>
      <c r="D604" s="2">
        <v>25004</v>
      </c>
      <c r="E604" s="1" t="s">
        <v>29</v>
      </c>
      <c r="F604" s="1" t="s">
        <v>30</v>
      </c>
      <c r="G604" s="1" t="s">
        <v>24</v>
      </c>
      <c r="H604" s="1" t="s">
        <v>24</v>
      </c>
      <c r="I604" s="1" t="s">
        <v>194</v>
      </c>
      <c r="J604">
        <v>103858</v>
      </c>
      <c r="K604">
        <v>0</v>
      </c>
      <c r="L604">
        <v>0</v>
      </c>
      <c r="M604">
        <v>0</v>
      </c>
      <c r="N604">
        <v>3</v>
      </c>
      <c r="O604" s="1" t="s">
        <v>32</v>
      </c>
      <c r="P604">
        <v>1</v>
      </c>
      <c r="Q604">
        <v>0</v>
      </c>
      <c r="R604">
        <v>1</v>
      </c>
      <c r="S604">
        <v>0</v>
      </c>
      <c r="T604">
        <v>0</v>
      </c>
      <c r="U604">
        <f>IF(openpolis_patrimoni_trasparenti_anno_2014[[#This Row],[totale_730_dichiarante]]&lt;&gt;0,LOG10(openpolis_patrimoni_trasparenti_anno_2014[[#This Row],[totale_730_dichiarante]]), 0)</f>
        <v>5.0164399551035688</v>
      </c>
    </row>
    <row r="605" spans="1:21" x14ac:dyDescent="0.3">
      <c r="A605">
        <v>494864</v>
      </c>
      <c r="B605" s="1" t="s">
        <v>51</v>
      </c>
      <c r="C605" s="1" t="s">
        <v>1021</v>
      </c>
      <c r="D605" s="2">
        <v>27312</v>
      </c>
      <c r="E605" s="1" t="s">
        <v>63</v>
      </c>
      <c r="F605" s="1" t="s">
        <v>30</v>
      </c>
      <c r="G605" s="1" t="s">
        <v>102</v>
      </c>
      <c r="H605" s="1" t="s">
        <v>102</v>
      </c>
      <c r="I605" s="1" t="s">
        <v>264</v>
      </c>
      <c r="J605">
        <v>78229.8</v>
      </c>
      <c r="K605">
        <v>0</v>
      </c>
      <c r="L605">
        <v>0</v>
      </c>
      <c r="M605">
        <v>0</v>
      </c>
      <c r="N605">
        <v>3</v>
      </c>
      <c r="O605" s="1" t="s">
        <v>90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f>IF(openpolis_patrimoni_trasparenti_anno_2014[[#This Row],[totale_730_dichiarante]]&lt;&gt;0,LOG10(openpolis_patrimoni_trasparenti_anno_2014[[#This Row],[totale_730_dichiarante]]), 0)</f>
        <v>4.893372219942977</v>
      </c>
    </row>
    <row r="606" spans="1:21" x14ac:dyDescent="0.3">
      <c r="A606">
        <v>569451</v>
      </c>
      <c r="B606" s="1" t="s">
        <v>265</v>
      </c>
      <c r="C606" s="1" t="s">
        <v>1022</v>
      </c>
      <c r="D606" s="2">
        <v>26412</v>
      </c>
      <c r="E606" s="1" t="s">
        <v>49</v>
      </c>
      <c r="F606" s="1" t="s">
        <v>30</v>
      </c>
      <c r="G606" s="1" t="s">
        <v>24</v>
      </c>
      <c r="H606" s="1" t="s">
        <v>24</v>
      </c>
      <c r="I606" s="1" t="s">
        <v>50</v>
      </c>
      <c r="J606">
        <v>84032</v>
      </c>
      <c r="K606">
        <v>0</v>
      </c>
      <c r="L606">
        <v>0</v>
      </c>
      <c r="M606">
        <v>0</v>
      </c>
      <c r="N606">
        <v>3</v>
      </c>
      <c r="O606" s="1" t="s">
        <v>32</v>
      </c>
      <c r="P606">
        <v>0</v>
      </c>
      <c r="Q606">
        <v>1</v>
      </c>
      <c r="R606">
        <v>2</v>
      </c>
      <c r="S606">
        <v>0</v>
      </c>
      <c r="T606">
        <v>0</v>
      </c>
      <c r="U606">
        <f>IF(openpolis_patrimoni_trasparenti_anno_2014[[#This Row],[totale_730_dichiarante]]&lt;&gt;0,LOG10(openpolis_patrimoni_trasparenti_anno_2014[[#This Row],[totale_730_dichiarante]]), 0)</f>
        <v>4.9244447000733667</v>
      </c>
    </row>
    <row r="607" spans="1:21" x14ac:dyDescent="0.3">
      <c r="A607">
        <v>86544</v>
      </c>
      <c r="B607" s="1" t="s">
        <v>1023</v>
      </c>
      <c r="C607" s="1" t="s">
        <v>1024</v>
      </c>
      <c r="D607" s="2">
        <v>27439</v>
      </c>
      <c r="E607" s="1" t="s">
        <v>146</v>
      </c>
      <c r="F607" s="1" t="s">
        <v>30</v>
      </c>
      <c r="G607" s="1" t="s">
        <v>24</v>
      </c>
      <c r="H607" s="1" t="s">
        <v>24</v>
      </c>
      <c r="I607" s="1" t="s">
        <v>118</v>
      </c>
      <c r="J607">
        <v>82476</v>
      </c>
      <c r="K607">
        <v>0</v>
      </c>
      <c r="L607">
        <v>0</v>
      </c>
      <c r="M607">
        <v>0</v>
      </c>
      <c r="N607">
        <v>3</v>
      </c>
      <c r="O607" s="1" t="s">
        <v>32</v>
      </c>
      <c r="P607">
        <v>1</v>
      </c>
      <c r="Q607">
        <v>0</v>
      </c>
      <c r="R607">
        <v>1</v>
      </c>
      <c r="S607">
        <v>0</v>
      </c>
      <c r="T607">
        <v>0</v>
      </c>
      <c r="U607">
        <f>IF(openpolis_patrimoni_trasparenti_anno_2014[[#This Row],[totale_730_dichiarante]]&lt;&gt;0,LOG10(openpolis_patrimoni_trasparenti_anno_2014[[#This Row],[totale_730_dichiarante]]), 0)</f>
        <v>4.9163275899566852</v>
      </c>
    </row>
    <row r="608" spans="1:21" x14ac:dyDescent="0.3">
      <c r="A608">
        <v>686236</v>
      </c>
      <c r="B608" s="1" t="s">
        <v>274</v>
      </c>
      <c r="C608" s="1" t="s">
        <v>1025</v>
      </c>
      <c r="D608" s="2">
        <v>32041</v>
      </c>
      <c r="E608" s="1" t="s">
        <v>114</v>
      </c>
      <c r="F608" s="1" t="s">
        <v>30</v>
      </c>
      <c r="G608" s="1" t="s">
        <v>102</v>
      </c>
      <c r="H608" s="1" t="s">
        <v>102</v>
      </c>
      <c r="I608" s="1" t="s">
        <v>111</v>
      </c>
      <c r="J608">
        <v>78230</v>
      </c>
      <c r="K608">
        <v>0</v>
      </c>
      <c r="L608">
        <v>0</v>
      </c>
      <c r="M608">
        <v>0</v>
      </c>
      <c r="N608">
        <v>2</v>
      </c>
      <c r="O608" s="1" t="s">
        <v>43</v>
      </c>
      <c r="P608">
        <v>1</v>
      </c>
      <c r="Q608">
        <v>0</v>
      </c>
      <c r="R608">
        <v>0</v>
      </c>
      <c r="S608">
        <v>0</v>
      </c>
      <c r="T608">
        <v>0</v>
      </c>
      <c r="U608">
        <f>IF(openpolis_patrimoni_trasparenti_anno_2014[[#This Row],[totale_730_dichiarante]]&lt;&gt;0,LOG10(openpolis_patrimoni_trasparenti_anno_2014[[#This Row],[totale_730_dichiarante]]), 0)</f>
        <v>4.8933733302460247</v>
      </c>
    </row>
    <row r="609" spans="1:21" x14ac:dyDescent="0.3">
      <c r="A609">
        <v>687297</v>
      </c>
      <c r="B609" s="1" t="s">
        <v>1026</v>
      </c>
      <c r="C609" s="1" t="s">
        <v>1027</v>
      </c>
      <c r="D609" s="2">
        <v>27496</v>
      </c>
      <c r="E609" s="1" t="s">
        <v>146</v>
      </c>
      <c r="F609" s="1" t="s">
        <v>30</v>
      </c>
      <c r="G609" s="1" t="s">
        <v>102</v>
      </c>
      <c r="H609" s="1" t="s">
        <v>102</v>
      </c>
      <c r="I609" s="1" t="s">
        <v>55</v>
      </c>
      <c r="J609">
        <v>80023</v>
      </c>
      <c r="K609">
        <v>0</v>
      </c>
      <c r="L609">
        <v>0</v>
      </c>
      <c r="M609">
        <v>0</v>
      </c>
      <c r="N609">
        <v>3</v>
      </c>
      <c r="O609" s="1" t="s">
        <v>32</v>
      </c>
      <c r="P609">
        <v>1</v>
      </c>
      <c r="Q609">
        <v>0</v>
      </c>
      <c r="R609">
        <v>0</v>
      </c>
      <c r="S609">
        <v>0</v>
      </c>
      <c r="T609">
        <v>0</v>
      </c>
      <c r="U609">
        <f>IF(openpolis_patrimoni_trasparenti_anno_2014[[#This Row],[totale_730_dichiarante]]&lt;&gt;0,LOG10(openpolis_patrimoni_trasparenti_anno_2014[[#This Row],[totale_730_dichiarante]]), 0)</f>
        <v>4.9032148287103539</v>
      </c>
    </row>
    <row r="610" spans="1:21" x14ac:dyDescent="0.3">
      <c r="A610">
        <v>685891</v>
      </c>
      <c r="B610" s="1" t="s">
        <v>387</v>
      </c>
      <c r="C610" s="1" t="s">
        <v>1028</v>
      </c>
      <c r="D610" s="2">
        <v>23943</v>
      </c>
      <c r="E610" s="1" t="s">
        <v>35</v>
      </c>
      <c r="F610" s="1" t="s">
        <v>30</v>
      </c>
      <c r="G610" s="1" t="s">
        <v>68</v>
      </c>
      <c r="H610" s="1" t="s">
        <v>24</v>
      </c>
      <c r="I610" s="1" t="s">
        <v>194</v>
      </c>
      <c r="J610">
        <v>30840.1</v>
      </c>
      <c r="K610">
        <v>0</v>
      </c>
      <c r="L610">
        <v>0</v>
      </c>
      <c r="M610">
        <v>0</v>
      </c>
      <c r="N610">
        <v>3</v>
      </c>
      <c r="O610" s="1" t="s">
        <v>1029</v>
      </c>
      <c r="P610">
        <v>0</v>
      </c>
      <c r="Q610">
        <v>0</v>
      </c>
      <c r="R610">
        <v>1</v>
      </c>
      <c r="S610">
        <v>1</v>
      </c>
      <c r="T610">
        <v>0</v>
      </c>
      <c r="U610">
        <f>IF(openpolis_patrimoni_trasparenti_anno_2014[[#This Row],[totale_730_dichiarante]]&lt;&gt;0,LOG10(openpolis_patrimoni_trasparenti_anno_2014[[#This Row],[totale_730_dichiarante]]), 0)</f>
        <v>4.489115777594801</v>
      </c>
    </row>
    <row r="611" spans="1:21" x14ac:dyDescent="0.3">
      <c r="A611">
        <v>28635</v>
      </c>
      <c r="B611" s="1" t="s">
        <v>1030</v>
      </c>
      <c r="C611" s="1" t="s">
        <v>529</v>
      </c>
      <c r="D611" s="2">
        <v>25497</v>
      </c>
      <c r="E611" s="1" t="s">
        <v>136</v>
      </c>
      <c r="F611" s="1" t="s">
        <v>30</v>
      </c>
      <c r="G611" s="1" t="s">
        <v>24</v>
      </c>
      <c r="H611" s="1" t="s">
        <v>24</v>
      </c>
      <c r="I611" s="1" t="s">
        <v>111</v>
      </c>
      <c r="J611">
        <v>93358</v>
      </c>
      <c r="K611">
        <v>0</v>
      </c>
      <c r="L611">
        <v>0</v>
      </c>
      <c r="M611">
        <v>0</v>
      </c>
      <c r="N611">
        <v>3</v>
      </c>
      <c r="O611" s="1" t="s">
        <v>32</v>
      </c>
      <c r="P611">
        <v>2</v>
      </c>
      <c r="Q611">
        <v>0</v>
      </c>
      <c r="R611">
        <v>1</v>
      </c>
      <c r="S611">
        <v>0</v>
      </c>
      <c r="T611">
        <v>1</v>
      </c>
      <c r="U611">
        <f>IF(openpolis_patrimoni_trasparenti_anno_2014[[#This Row],[totale_730_dichiarante]]&lt;&gt;0,LOG10(openpolis_patrimoni_trasparenti_anno_2014[[#This Row],[totale_730_dichiarante]]), 0)</f>
        <v>4.9701515392855189</v>
      </c>
    </row>
    <row r="612" spans="1:21" x14ac:dyDescent="0.3">
      <c r="A612">
        <v>17508</v>
      </c>
      <c r="B612" s="1" t="s">
        <v>346</v>
      </c>
      <c r="C612" s="1" t="s">
        <v>1031</v>
      </c>
      <c r="D612" s="2">
        <v>29229</v>
      </c>
      <c r="E612" s="1" t="s">
        <v>114</v>
      </c>
      <c r="F612" s="1" t="s">
        <v>30</v>
      </c>
      <c r="G612" s="1" t="s">
        <v>24</v>
      </c>
      <c r="H612" s="1" t="s">
        <v>24</v>
      </c>
      <c r="I612" s="1" t="s">
        <v>46</v>
      </c>
      <c r="J612">
        <v>84813</v>
      </c>
      <c r="K612">
        <v>0</v>
      </c>
      <c r="L612">
        <v>0</v>
      </c>
      <c r="M612">
        <v>0</v>
      </c>
      <c r="N612">
        <v>3</v>
      </c>
      <c r="O612" s="1" t="s">
        <v>32</v>
      </c>
      <c r="P612">
        <v>0</v>
      </c>
      <c r="Q612">
        <v>0</v>
      </c>
      <c r="R612">
        <v>1</v>
      </c>
      <c r="S612">
        <v>1</v>
      </c>
      <c r="T612">
        <v>0</v>
      </c>
      <c r="U612">
        <f>IF(openpolis_patrimoni_trasparenti_anno_2014[[#This Row],[totale_730_dichiarante]]&lt;&gt;0,LOG10(openpolis_patrimoni_trasparenti_anno_2014[[#This Row],[totale_730_dichiarante]]), 0)</f>
        <v>4.9284624253174556</v>
      </c>
    </row>
    <row r="613" spans="1:21" x14ac:dyDescent="0.3">
      <c r="A613">
        <v>380</v>
      </c>
      <c r="B613" s="1" t="s">
        <v>152</v>
      </c>
      <c r="C613" s="1" t="s">
        <v>1032</v>
      </c>
      <c r="D613" s="2">
        <v>22269</v>
      </c>
      <c r="E613" s="1" t="s">
        <v>49</v>
      </c>
      <c r="F613" s="1" t="s">
        <v>30</v>
      </c>
      <c r="G613" s="1" t="s">
        <v>126</v>
      </c>
      <c r="H613" s="1" t="s">
        <v>127</v>
      </c>
      <c r="I613" s="1" t="s">
        <v>115</v>
      </c>
      <c r="J613">
        <v>82086</v>
      </c>
      <c r="K613">
        <v>0</v>
      </c>
      <c r="L613">
        <v>0</v>
      </c>
      <c r="M613">
        <v>0</v>
      </c>
      <c r="N613">
        <v>3</v>
      </c>
      <c r="O613" s="1" t="s">
        <v>32</v>
      </c>
      <c r="P613">
        <v>1</v>
      </c>
      <c r="Q613">
        <v>0</v>
      </c>
      <c r="R613">
        <v>1</v>
      </c>
      <c r="S613">
        <v>0</v>
      </c>
      <c r="T613">
        <v>0</v>
      </c>
      <c r="U613">
        <f>IF(openpolis_patrimoni_trasparenti_anno_2014[[#This Row],[totale_730_dichiarante]]&lt;&gt;0,LOG10(openpolis_patrimoni_trasparenti_anno_2014[[#This Row],[totale_730_dichiarante]]), 0)</f>
        <v>4.9142690932801196</v>
      </c>
    </row>
    <row r="614" spans="1:21" x14ac:dyDescent="0.3">
      <c r="A614">
        <v>332713</v>
      </c>
      <c r="B614" s="1" t="s">
        <v>217</v>
      </c>
      <c r="C614" s="1" t="s">
        <v>1033</v>
      </c>
      <c r="D614" s="2">
        <v>24271</v>
      </c>
      <c r="E614" s="1" t="s">
        <v>136</v>
      </c>
      <c r="F614" s="1" t="s">
        <v>30</v>
      </c>
      <c r="G614" s="1" t="s">
        <v>36</v>
      </c>
      <c r="H614" s="1" t="s">
        <v>54</v>
      </c>
      <c r="I614" s="1" t="s">
        <v>115</v>
      </c>
      <c r="J614">
        <v>101892</v>
      </c>
      <c r="K614">
        <v>0</v>
      </c>
      <c r="L614">
        <v>0</v>
      </c>
      <c r="M614">
        <v>0</v>
      </c>
      <c r="N614">
        <v>3</v>
      </c>
      <c r="O614" s="1" t="s">
        <v>32</v>
      </c>
      <c r="P614">
        <v>1</v>
      </c>
      <c r="Q614">
        <v>0</v>
      </c>
      <c r="R614">
        <v>1</v>
      </c>
      <c r="S614">
        <v>0</v>
      </c>
      <c r="T614">
        <v>0</v>
      </c>
      <c r="U614">
        <f>IF(openpolis_patrimoni_trasparenti_anno_2014[[#This Row],[totale_730_dichiarante]]&lt;&gt;0,LOG10(openpolis_patrimoni_trasparenti_anno_2014[[#This Row],[totale_730_dichiarante]]), 0)</f>
        <v>5.0081400869284547</v>
      </c>
    </row>
    <row r="615" spans="1:21" x14ac:dyDescent="0.3">
      <c r="A615">
        <v>685794</v>
      </c>
      <c r="B615" s="1" t="s">
        <v>257</v>
      </c>
      <c r="C615" s="1" t="s">
        <v>1034</v>
      </c>
      <c r="D615" s="2">
        <v>31566</v>
      </c>
      <c r="E615" s="1" t="s">
        <v>41</v>
      </c>
      <c r="F615" s="1" t="s">
        <v>30</v>
      </c>
      <c r="G615" s="1" t="s">
        <v>102</v>
      </c>
      <c r="H615" s="1" t="s">
        <v>102</v>
      </c>
      <c r="I615" s="1" t="s">
        <v>42</v>
      </c>
      <c r="J615">
        <v>78230</v>
      </c>
      <c r="K615">
        <v>0</v>
      </c>
      <c r="L615">
        <v>0</v>
      </c>
      <c r="M615">
        <v>0</v>
      </c>
      <c r="N615">
        <v>2</v>
      </c>
      <c r="O615" s="1" t="s">
        <v>43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f>IF(openpolis_patrimoni_trasparenti_anno_2014[[#This Row],[totale_730_dichiarante]]&lt;&gt;0,LOG10(openpolis_patrimoni_trasparenti_anno_2014[[#This Row],[totale_730_dichiarante]]), 0)</f>
        <v>4.8933733302460247</v>
      </c>
    </row>
    <row r="616" spans="1:21" x14ac:dyDescent="0.3">
      <c r="A616">
        <v>686531</v>
      </c>
      <c r="B616" s="1" t="s">
        <v>721</v>
      </c>
      <c r="C616" s="1" t="s">
        <v>1035</v>
      </c>
      <c r="D616" s="2">
        <v>31010</v>
      </c>
      <c r="E616" s="1" t="s">
        <v>114</v>
      </c>
      <c r="F616" s="1" t="s">
        <v>30</v>
      </c>
      <c r="G616" s="1" t="s">
        <v>102</v>
      </c>
      <c r="H616" s="1" t="s">
        <v>102</v>
      </c>
      <c r="I616" s="1" t="s">
        <v>169</v>
      </c>
      <c r="J616">
        <v>78229.8</v>
      </c>
      <c r="K616">
        <v>0</v>
      </c>
      <c r="L616">
        <v>0</v>
      </c>
      <c r="M616">
        <v>0</v>
      </c>
      <c r="N616">
        <v>3</v>
      </c>
      <c r="O616" s="1" t="s">
        <v>90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f>IF(openpolis_patrimoni_trasparenti_anno_2014[[#This Row],[totale_730_dichiarante]]&lt;&gt;0,LOG10(openpolis_patrimoni_trasparenti_anno_2014[[#This Row],[totale_730_dichiarante]]), 0)</f>
        <v>4.893372219942977</v>
      </c>
    </row>
    <row r="617" spans="1:21" x14ac:dyDescent="0.3">
      <c r="A617">
        <v>686334</v>
      </c>
      <c r="B617" s="1" t="s">
        <v>1036</v>
      </c>
      <c r="C617" s="1" t="s">
        <v>1037</v>
      </c>
      <c r="D617" s="2">
        <v>29722</v>
      </c>
      <c r="E617" s="1" t="s">
        <v>49</v>
      </c>
      <c r="F617" s="1" t="s">
        <v>30</v>
      </c>
      <c r="G617" s="1" t="s">
        <v>102</v>
      </c>
      <c r="H617" s="1" t="s">
        <v>102</v>
      </c>
      <c r="I617" s="1" t="s">
        <v>64</v>
      </c>
      <c r="J617">
        <v>83752</v>
      </c>
      <c r="K617">
        <v>0</v>
      </c>
      <c r="L617">
        <v>0</v>
      </c>
      <c r="M617">
        <v>0</v>
      </c>
      <c r="N617">
        <v>3</v>
      </c>
      <c r="O617" s="1" t="s">
        <v>32</v>
      </c>
      <c r="P617">
        <v>1</v>
      </c>
      <c r="Q617">
        <v>0</v>
      </c>
      <c r="R617">
        <v>0</v>
      </c>
      <c r="S617">
        <v>0</v>
      </c>
      <c r="T617">
        <v>0</v>
      </c>
      <c r="U617">
        <f>IF(openpolis_patrimoni_trasparenti_anno_2014[[#This Row],[totale_730_dichiarante]]&lt;&gt;0,LOG10(openpolis_patrimoni_trasparenti_anno_2014[[#This Row],[totale_730_dichiarante]]), 0)</f>
        <v>4.922995186796558</v>
      </c>
    </row>
    <row r="618" spans="1:21" x14ac:dyDescent="0.3">
      <c r="A618">
        <v>274823</v>
      </c>
      <c r="B618" s="1" t="s">
        <v>346</v>
      </c>
      <c r="C618" s="1" t="s">
        <v>1037</v>
      </c>
      <c r="D618" s="2">
        <v>23509</v>
      </c>
      <c r="E618" s="1" t="s">
        <v>49</v>
      </c>
      <c r="F618" s="1" t="s">
        <v>30</v>
      </c>
      <c r="G618" s="1" t="s">
        <v>24</v>
      </c>
      <c r="H618" s="1" t="s">
        <v>24</v>
      </c>
      <c r="I618" s="1" t="s">
        <v>50</v>
      </c>
      <c r="J618">
        <v>80607</v>
      </c>
      <c r="K618">
        <v>0</v>
      </c>
      <c r="L618">
        <v>0</v>
      </c>
      <c r="M618">
        <v>0</v>
      </c>
      <c r="N618">
        <v>3</v>
      </c>
      <c r="O618" s="1" t="s">
        <v>32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f>IF(openpolis_patrimoni_trasparenti_anno_2014[[#This Row],[totale_730_dichiarante]]&lt;&gt;0,LOG10(openpolis_patrimoni_trasparenti_anno_2014[[#This Row],[totale_730_dichiarante]]), 0)</f>
        <v>4.906372758050356</v>
      </c>
    </row>
    <row r="619" spans="1:21" x14ac:dyDescent="0.3">
      <c r="A619">
        <v>429177</v>
      </c>
      <c r="B619" s="1" t="s">
        <v>346</v>
      </c>
      <c r="C619" s="1" t="s">
        <v>1038</v>
      </c>
      <c r="D619" s="2">
        <v>30619</v>
      </c>
      <c r="E619" s="1" t="s">
        <v>156</v>
      </c>
      <c r="F619" s="1" t="s">
        <v>30</v>
      </c>
      <c r="G619" s="1" t="s">
        <v>24</v>
      </c>
      <c r="H619" s="1" t="s">
        <v>24</v>
      </c>
      <c r="I619" s="1" t="s">
        <v>111</v>
      </c>
      <c r="J619">
        <v>81500</v>
      </c>
      <c r="K619">
        <v>0</v>
      </c>
      <c r="L619">
        <v>0</v>
      </c>
      <c r="M619">
        <v>0</v>
      </c>
      <c r="N619">
        <v>3</v>
      </c>
      <c r="O619" s="1" t="s">
        <v>32</v>
      </c>
      <c r="P619">
        <v>0</v>
      </c>
      <c r="Q619">
        <v>0</v>
      </c>
      <c r="R619">
        <v>0</v>
      </c>
      <c r="S619">
        <v>2</v>
      </c>
      <c r="T619">
        <v>0</v>
      </c>
      <c r="U619">
        <f>IF(openpolis_patrimoni_trasparenti_anno_2014[[#This Row],[totale_730_dichiarante]]&lt;&gt;0,LOG10(openpolis_patrimoni_trasparenti_anno_2014[[#This Row],[totale_730_dichiarante]]), 0)</f>
        <v>4.9111576087399769</v>
      </c>
    </row>
    <row r="620" spans="1:21" x14ac:dyDescent="0.3">
      <c r="A620">
        <v>685892</v>
      </c>
      <c r="B620" s="1" t="s">
        <v>192</v>
      </c>
      <c r="C620" s="1" t="s">
        <v>1038</v>
      </c>
      <c r="D620" s="2">
        <v>31599</v>
      </c>
      <c r="E620" s="1" t="s">
        <v>114</v>
      </c>
      <c r="F620" s="1" t="s">
        <v>30</v>
      </c>
      <c r="G620" s="1" t="s">
        <v>102</v>
      </c>
      <c r="H620" s="1" t="s">
        <v>102</v>
      </c>
      <c r="I620" s="1" t="s">
        <v>264</v>
      </c>
      <c r="J620">
        <v>82379</v>
      </c>
      <c r="K620">
        <v>0</v>
      </c>
      <c r="L620">
        <v>0</v>
      </c>
      <c r="M620">
        <v>0</v>
      </c>
      <c r="N620">
        <v>3</v>
      </c>
      <c r="O620" s="1" t="s">
        <v>32</v>
      </c>
      <c r="P620">
        <v>0</v>
      </c>
      <c r="Q620">
        <v>0</v>
      </c>
      <c r="R620">
        <v>0</v>
      </c>
      <c r="S620">
        <v>1</v>
      </c>
      <c r="T620">
        <v>0</v>
      </c>
      <c r="U620">
        <f>IF(openpolis_patrimoni_trasparenti_anno_2014[[#This Row],[totale_730_dichiarante]]&lt;&gt;0,LOG10(openpolis_patrimoni_trasparenti_anno_2014[[#This Row],[totale_730_dichiarante]]), 0)</f>
        <v>4.9158165157447273</v>
      </c>
    </row>
    <row r="621" spans="1:21" x14ac:dyDescent="0.3">
      <c r="A621">
        <v>5059</v>
      </c>
      <c r="B621" s="1" t="s">
        <v>346</v>
      </c>
      <c r="C621" s="1" t="s">
        <v>1039</v>
      </c>
      <c r="D621" s="2">
        <v>25613</v>
      </c>
      <c r="E621" s="1" t="s">
        <v>41</v>
      </c>
      <c r="F621" s="1" t="s">
        <v>30</v>
      </c>
      <c r="G621" s="1" t="s">
        <v>24</v>
      </c>
      <c r="H621" s="1" t="s">
        <v>54</v>
      </c>
      <c r="I621" s="1" t="s">
        <v>264</v>
      </c>
      <c r="J621">
        <v>218865</v>
      </c>
      <c r="K621">
        <v>0</v>
      </c>
      <c r="L621">
        <v>0</v>
      </c>
      <c r="M621">
        <v>0</v>
      </c>
      <c r="N621">
        <v>3</v>
      </c>
      <c r="O621" s="1" t="s">
        <v>32</v>
      </c>
      <c r="P621">
        <v>1</v>
      </c>
      <c r="Q621">
        <v>0</v>
      </c>
      <c r="R621">
        <v>1</v>
      </c>
      <c r="S621">
        <v>1</v>
      </c>
      <c r="T621">
        <v>0</v>
      </c>
      <c r="U621">
        <f>IF(openpolis_patrimoni_trasparenti_anno_2014[[#This Row],[totale_730_dichiarante]]&lt;&gt;0,LOG10(openpolis_patrimoni_trasparenti_anno_2014[[#This Row],[totale_730_dichiarante]]), 0)</f>
        <v>5.3401763165145404</v>
      </c>
    </row>
    <row r="622" spans="1:21" x14ac:dyDescent="0.3">
      <c r="A622">
        <v>686533</v>
      </c>
      <c r="B622" s="1" t="s">
        <v>201</v>
      </c>
      <c r="C622" s="1" t="s">
        <v>1040</v>
      </c>
      <c r="D622" s="2">
        <v>32092</v>
      </c>
      <c r="E622" s="1" t="s">
        <v>532</v>
      </c>
      <c r="F622" s="1" t="s">
        <v>30</v>
      </c>
      <c r="G622" s="1" t="s">
        <v>102</v>
      </c>
      <c r="H622" s="1" t="s">
        <v>102</v>
      </c>
      <c r="I622" s="1" t="s">
        <v>169</v>
      </c>
      <c r="J622">
        <v>78229.8</v>
      </c>
      <c r="K622">
        <v>0</v>
      </c>
      <c r="L622">
        <v>0</v>
      </c>
      <c r="M622">
        <v>0</v>
      </c>
      <c r="N622">
        <v>2</v>
      </c>
      <c r="O622" s="1" t="s">
        <v>43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f>IF(openpolis_patrimoni_trasparenti_anno_2014[[#This Row],[totale_730_dichiarante]]&lt;&gt;0,LOG10(openpolis_patrimoni_trasparenti_anno_2014[[#This Row],[totale_730_dichiarante]]), 0)</f>
        <v>4.893372219942977</v>
      </c>
    </row>
    <row r="623" spans="1:21" x14ac:dyDescent="0.3">
      <c r="A623">
        <v>687328</v>
      </c>
      <c r="B623" s="1" t="s">
        <v>451</v>
      </c>
      <c r="C623" s="1" t="s">
        <v>1041</v>
      </c>
      <c r="D623" s="2">
        <v>28706</v>
      </c>
      <c r="E623" s="1" t="s">
        <v>156</v>
      </c>
      <c r="F623" s="1" t="s">
        <v>30</v>
      </c>
      <c r="G623" s="1" t="s">
        <v>102</v>
      </c>
      <c r="H623" s="1" t="s">
        <v>102</v>
      </c>
      <c r="I623" s="1" t="s">
        <v>50</v>
      </c>
      <c r="J623">
        <v>78730</v>
      </c>
      <c r="K623">
        <v>0</v>
      </c>
      <c r="L623">
        <v>0</v>
      </c>
      <c r="M623">
        <v>0</v>
      </c>
      <c r="N623">
        <v>2</v>
      </c>
      <c r="O623" s="1" t="s">
        <v>43</v>
      </c>
      <c r="P623">
        <v>0</v>
      </c>
      <c r="Q623">
        <v>0</v>
      </c>
      <c r="R623">
        <v>0</v>
      </c>
      <c r="S623">
        <v>0</v>
      </c>
      <c r="T623">
        <v>1</v>
      </c>
      <c r="U623">
        <f>IF(openpolis_patrimoni_trasparenti_anno_2014[[#This Row],[totale_730_dichiarante]]&lt;&gt;0,LOG10(openpolis_patrimoni_trasparenti_anno_2014[[#This Row],[totale_730_dichiarante]]), 0)</f>
        <v>4.8961402514420191</v>
      </c>
    </row>
    <row r="624" spans="1:21" x14ac:dyDescent="0.3">
      <c r="A624">
        <v>8815</v>
      </c>
      <c r="B624" s="1" t="s">
        <v>179</v>
      </c>
      <c r="C624" s="1" t="s">
        <v>1042</v>
      </c>
      <c r="D624" s="2">
        <v>21882</v>
      </c>
      <c r="E624" s="1" t="s">
        <v>22</v>
      </c>
      <c r="F624" s="1" t="s">
        <v>30</v>
      </c>
      <c r="G624" s="1" t="s">
        <v>25</v>
      </c>
      <c r="H624" s="1" t="s">
        <v>97</v>
      </c>
      <c r="I624" s="1" t="s">
        <v>284</v>
      </c>
      <c r="J624">
        <v>78234</v>
      </c>
      <c r="K624">
        <v>0</v>
      </c>
      <c r="L624">
        <v>0</v>
      </c>
      <c r="M624">
        <v>0</v>
      </c>
      <c r="N624">
        <v>3</v>
      </c>
      <c r="O624" s="1" t="s">
        <v>32</v>
      </c>
      <c r="P624">
        <v>1</v>
      </c>
      <c r="Q624">
        <v>1</v>
      </c>
      <c r="R624">
        <v>1</v>
      </c>
      <c r="S624">
        <v>0</v>
      </c>
      <c r="T624">
        <v>0</v>
      </c>
      <c r="U624">
        <f>IF(openpolis_patrimoni_trasparenti_anno_2014[[#This Row],[totale_730_dichiarante]]&lt;&gt;0,LOG10(openpolis_patrimoni_trasparenti_anno_2014[[#This Row],[totale_730_dichiarante]]), 0)</f>
        <v>4.8933955357108987</v>
      </c>
    </row>
    <row r="625" spans="1:21" x14ac:dyDescent="0.3">
      <c r="A625">
        <v>476784</v>
      </c>
      <c r="B625" s="1" t="s">
        <v>1043</v>
      </c>
      <c r="C625" s="1" t="s">
        <v>1044</v>
      </c>
      <c r="D625" s="2">
        <v>27367</v>
      </c>
      <c r="E625" s="1" t="s">
        <v>49</v>
      </c>
      <c r="F625" s="1" t="s">
        <v>30</v>
      </c>
      <c r="G625" s="1" t="s">
        <v>102</v>
      </c>
      <c r="H625" s="1" t="s">
        <v>102</v>
      </c>
      <c r="I625" s="1" t="s">
        <v>200</v>
      </c>
      <c r="J625">
        <v>78229.8</v>
      </c>
      <c r="K625">
        <v>0</v>
      </c>
      <c r="L625">
        <v>0</v>
      </c>
      <c r="M625">
        <v>0</v>
      </c>
      <c r="N625">
        <v>3</v>
      </c>
      <c r="O625" s="1" t="s">
        <v>90</v>
      </c>
      <c r="P625">
        <v>0</v>
      </c>
      <c r="Q625">
        <v>0</v>
      </c>
      <c r="R625">
        <v>2</v>
      </c>
      <c r="S625">
        <v>0</v>
      </c>
      <c r="T625">
        <v>0</v>
      </c>
      <c r="U625">
        <f>IF(openpolis_patrimoni_trasparenti_anno_2014[[#This Row],[totale_730_dichiarante]]&lt;&gt;0,LOG10(openpolis_patrimoni_trasparenti_anno_2014[[#This Row],[totale_730_dichiarante]]), 0)</f>
        <v>4.893372219942977</v>
      </c>
    </row>
    <row r="626" spans="1:21" x14ac:dyDescent="0.3">
      <c r="A626">
        <v>368</v>
      </c>
      <c r="B626" s="1" t="s">
        <v>1045</v>
      </c>
      <c r="C626" s="1" t="s">
        <v>1046</v>
      </c>
      <c r="D626" s="2">
        <v>20263</v>
      </c>
      <c r="E626" s="1" t="s">
        <v>49</v>
      </c>
      <c r="F626" s="1" t="s">
        <v>30</v>
      </c>
      <c r="G626" s="1" t="s">
        <v>126</v>
      </c>
      <c r="H626" s="1" t="s">
        <v>24</v>
      </c>
      <c r="I626" s="1" t="s">
        <v>72</v>
      </c>
      <c r="J626">
        <v>96177</v>
      </c>
      <c r="K626">
        <v>0</v>
      </c>
      <c r="L626">
        <v>0</v>
      </c>
      <c r="M626">
        <v>0</v>
      </c>
      <c r="N626">
        <v>3</v>
      </c>
      <c r="O626" s="1" t="s">
        <v>32</v>
      </c>
      <c r="P626">
        <v>1</v>
      </c>
      <c r="Q626">
        <v>0</v>
      </c>
      <c r="R626">
        <v>0</v>
      </c>
      <c r="S626">
        <v>0</v>
      </c>
      <c r="T626">
        <v>0</v>
      </c>
      <c r="U626">
        <f>IF(openpolis_patrimoni_trasparenti_anno_2014[[#This Row],[totale_730_dichiarante]]&lt;&gt;0,LOG10(openpolis_patrimoni_trasparenti_anno_2014[[#This Row],[totale_730_dichiarante]]), 0)</f>
        <v>4.9830712262232781</v>
      </c>
    </row>
    <row r="627" spans="1:21" x14ac:dyDescent="0.3">
      <c r="A627">
        <v>686240</v>
      </c>
      <c r="B627" s="1" t="s">
        <v>762</v>
      </c>
      <c r="C627" s="1" t="s">
        <v>1047</v>
      </c>
      <c r="D627" s="2">
        <v>31297</v>
      </c>
      <c r="E627" s="1" t="s">
        <v>49</v>
      </c>
      <c r="F627" s="1" t="s">
        <v>30</v>
      </c>
      <c r="G627" s="1" t="s">
        <v>102</v>
      </c>
      <c r="H627" s="1" t="s">
        <v>102</v>
      </c>
      <c r="I627" s="1" t="s">
        <v>111</v>
      </c>
      <c r="J627">
        <v>81860</v>
      </c>
      <c r="K627">
        <v>0</v>
      </c>
      <c r="L627">
        <v>0</v>
      </c>
      <c r="M627">
        <v>0</v>
      </c>
      <c r="N627">
        <v>2</v>
      </c>
      <c r="O627" s="1" t="s">
        <v>43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f>IF(openpolis_patrimoni_trasparenti_anno_2014[[#This Row],[totale_730_dichiarante]]&lt;&gt;0,LOG10(openpolis_patrimoni_trasparenti_anno_2014[[#This Row],[totale_730_dichiarante]]), 0)</f>
        <v>4.9130717403092508</v>
      </c>
    </row>
    <row r="628" spans="1:21" x14ac:dyDescent="0.3">
      <c r="A628">
        <v>685959</v>
      </c>
      <c r="B628" s="1" t="s">
        <v>233</v>
      </c>
      <c r="C628" s="1" t="s">
        <v>1048</v>
      </c>
      <c r="D628" s="2">
        <v>14938</v>
      </c>
      <c r="E628" s="1" t="s">
        <v>29</v>
      </c>
      <c r="F628" s="1" t="s">
        <v>30</v>
      </c>
      <c r="G628" s="1" t="s">
        <v>24</v>
      </c>
      <c r="H628" s="1" t="s">
        <v>24</v>
      </c>
      <c r="I628" s="1" t="s">
        <v>72</v>
      </c>
      <c r="J628">
        <v>313388</v>
      </c>
      <c r="K628">
        <v>0</v>
      </c>
      <c r="L628">
        <v>0</v>
      </c>
      <c r="M628">
        <v>0</v>
      </c>
      <c r="N628">
        <v>3</v>
      </c>
      <c r="O628" s="1" t="s">
        <v>32</v>
      </c>
      <c r="P628">
        <v>7</v>
      </c>
      <c r="Q628">
        <v>0</v>
      </c>
      <c r="R628">
        <v>1</v>
      </c>
      <c r="S628">
        <v>9</v>
      </c>
      <c r="T628">
        <v>0</v>
      </c>
      <c r="U628">
        <f>IF(openpolis_patrimoni_trasparenti_anno_2014[[#This Row],[totale_730_dichiarante]]&lt;&gt;0,LOG10(openpolis_patrimoni_trasparenti_anno_2014[[#This Row],[totale_730_dichiarante]]), 0)</f>
        <v>5.4960823627976652</v>
      </c>
    </row>
    <row r="629" spans="1:21" x14ac:dyDescent="0.3">
      <c r="A629">
        <v>6211</v>
      </c>
      <c r="B629" s="1" t="s">
        <v>84</v>
      </c>
      <c r="C629" s="1" t="s">
        <v>1049</v>
      </c>
      <c r="D629" s="2">
        <v>24955</v>
      </c>
      <c r="E629" s="1" t="s">
        <v>41</v>
      </c>
      <c r="F629" s="1" t="s">
        <v>30</v>
      </c>
      <c r="G629" s="1" t="s">
        <v>167</v>
      </c>
      <c r="H629" s="1" t="s">
        <v>168</v>
      </c>
      <c r="I629" s="1" t="s">
        <v>132</v>
      </c>
      <c r="J629">
        <v>109921</v>
      </c>
      <c r="K629">
        <v>0</v>
      </c>
      <c r="L629">
        <v>0</v>
      </c>
      <c r="M629">
        <v>0</v>
      </c>
      <c r="N629">
        <v>3</v>
      </c>
      <c r="O629" s="1" t="s">
        <v>32</v>
      </c>
      <c r="P629">
        <v>1</v>
      </c>
      <c r="Q629">
        <v>0</v>
      </c>
      <c r="R629">
        <v>2</v>
      </c>
      <c r="S629">
        <v>1</v>
      </c>
      <c r="T629">
        <v>0</v>
      </c>
      <c r="U629">
        <f>IF(openpolis_patrimoni_trasparenti_anno_2014[[#This Row],[totale_730_dichiarante]]&lt;&gt;0,LOG10(openpolis_patrimoni_trasparenti_anno_2014[[#This Row],[totale_730_dichiarante]]), 0)</f>
        <v>5.0410806707026152</v>
      </c>
    </row>
    <row r="630" spans="1:21" x14ac:dyDescent="0.3">
      <c r="A630">
        <v>686330</v>
      </c>
      <c r="B630" s="1" t="s">
        <v>1050</v>
      </c>
      <c r="C630" s="1" t="s">
        <v>1051</v>
      </c>
      <c r="D630" s="2">
        <v>29056</v>
      </c>
      <c r="E630" s="1" t="s">
        <v>49</v>
      </c>
      <c r="F630" s="1" t="s">
        <v>30</v>
      </c>
      <c r="G630" s="1" t="s">
        <v>102</v>
      </c>
      <c r="H630" s="1" t="s">
        <v>102</v>
      </c>
      <c r="I630" s="1" t="s">
        <v>64</v>
      </c>
      <c r="J630">
        <v>97766</v>
      </c>
      <c r="K630">
        <v>0</v>
      </c>
      <c r="L630">
        <v>0</v>
      </c>
      <c r="M630">
        <v>0</v>
      </c>
      <c r="N630">
        <v>3</v>
      </c>
      <c r="O630" s="1" t="s">
        <v>32</v>
      </c>
      <c r="P630">
        <v>1</v>
      </c>
      <c r="Q630">
        <v>0</v>
      </c>
      <c r="R630">
        <v>1</v>
      </c>
      <c r="S630">
        <v>1</v>
      </c>
      <c r="T630">
        <v>0</v>
      </c>
      <c r="U630">
        <f>IF(openpolis_patrimoni_trasparenti_anno_2014[[#This Row],[totale_730_dichiarante]]&lt;&gt;0,LOG10(openpolis_patrimoni_trasparenti_anno_2014[[#This Row],[totale_730_dichiarante]]), 0)</f>
        <v>4.9901878468155259</v>
      </c>
    </row>
    <row r="631" spans="1:21" x14ac:dyDescent="0.3">
      <c r="A631">
        <v>23078</v>
      </c>
      <c r="B631" s="1" t="s">
        <v>1052</v>
      </c>
      <c r="C631" s="1" t="s">
        <v>1053</v>
      </c>
      <c r="D631" s="2">
        <v>26737</v>
      </c>
      <c r="E631" s="1" t="s">
        <v>49</v>
      </c>
      <c r="F631" s="1" t="s">
        <v>30</v>
      </c>
      <c r="G631" s="1" t="s">
        <v>24</v>
      </c>
      <c r="H631" s="1" t="s">
        <v>24</v>
      </c>
      <c r="I631" s="1" t="s">
        <v>178</v>
      </c>
      <c r="J631">
        <v>85676</v>
      </c>
      <c r="K631">
        <v>2547</v>
      </c>
      <c r="L631">
        <v>0</v>
      </c>
      <c r="M631">
        <v>0</v>
      </c>
      <c r="N631">
        <v>1</v>
      </c>
      <c r="O631" s="1" t="s">
        <v>119</v>
      </c>
      <c r="P631">
        <v>4</v>
      </c>
      <c r="Q631">
        <v>1</v>
      </c>
      <c r="R631">
        <v>0</v>
      </c>
      <c r="S631">
        <v>2</v>
      </c>
      <c r="T631">
        <v>0</v>
      </c>
      <c r="U631">
        <f>IF(openpolis_patrimoni_trasparenti_anno_2014[[#This Row],[totale_730_dichiarante]]&lt;&gt;0,LOG10(openpolis_patrimoni_trasparenti_anno_2014[[#This Row],[totale_730_dichiarante]]), 0)</f>
        <v>4.9328591821646111</v>
      </c>
    </row>
    <row r="632" spans="1:21" x14ac:dyDescent="0.3">
      <c r="A632">
        <v>6429</v>
      </c>
      <c r="B632" s="1" t="s">
        <v>265</v>
      </c>
      <c r="C632" s="1" t="s">
        <v>1054</v>
      </c>
      <c r="D632" s="2">
        <v>24385</v>
      </c>
      <c r="E632" s="1" t="s">
        <v>136</v>
      </c>
      <c r="F632" s="1" t="s">
        <v>30</v>
      </c>
      <c r="G632" s="1" t="s">
        <v>24</v>
      </c>
      <c r="H632" s="1" t="s">
        <v>24</v>
      </c>
      <c r="I632" s="1" t="s">
        <v>111</v>
      </c>
      <c r="J632">
        <v>95940</v>
      </c>
      <c r="K632">
        <v>0</v>
      </c>
      <c r="L632">
        <v>0</v>
      </c>
      <c r="M632">
        <v>0</v>
      </c>
      <c r="N632">
        <v>3</v>
      </c>
      <c r="O632" s="1" t="s">
        <v>32</v>
      </c>
      <c r="P632">
        <v>0</v>
      </c>
      <c r="Q632">
        <v>0</v>
      </c>
      <c r="R632">
        <v>1</v>
      </c>
      <c r="S632">
        <v>0</v>
      </c>
      <c r="T632">
        <v>0</v>
      </c>
      <c r="U632">
        <f>IF(openpolis_patrimoni_trasparenti_anno_2014[[#This Row],[totale_730_dichiarante]]&lt;&gt;0,LOG10(openpolis_patrimoni_trasparenti_anno_2014[[#This Row],[totale_730_dichiarante]]), 0)</f>
        <v>4.981999714129878</v>
      </c>
    </row>
    <row r="633" spans="1:21" x14ac:dyDescent="0.3">
      <c r="A633">
        <v>332706</v>
      </c>
      <c r="B633" s="1" t="s">
        <v>591</v>
      </c>
      <c r="C633" s="1" t="s">
        <v>1055</v>
      </c>
      <c r="D633" s="2">
        <v>27677</v>
      </c>
      <c r="E633" s="1" t="s">
        <v>41</v>
      </c>
      <c r="F633" s="1" t="s">
        <v>30</v>
      </c>
      <c r="G633" s="1" t="s">
        <v>36</v>
      </c>
      <c r="H633" s="1" t="s">
        <v>37</v>
      </c>
      <c r="I633" s="1" t="s">
        <v>132</v>
      </c>
      <c r="J633">
        <v>98471</v>
      </c>
      <c r="K633">
        <v>0</v>
      </c>
      <c r="L633">
        <v>0</v>
      </c>
      <c r="M633">
        <v>0</v>
      </c>
      <c r="N633">
        <v>2</v>
      </c>
      <c r="O633" s="1" t="s">
        <v>43</v>
      </c>
      <c r="P633">
        <v>0</v>
      </c>
      <c r="Q633">
        <v>0</v>
      </c>
      <c r="R633">
        <v>1</v>
      </c>
      <c r="S633">
        <v>0</v>
      </c>
      <c r="T633">
        <v>0</v>
      </c>
      <c r="U633">
        <f>IF(openpolis_patrimoni_trasparenti_anno_2014[[#This Row],[totale_730_dichiarante]]&lt;&gt;0,LOG10(openpolis_patrimoni_trasparenti_anno_2014[[#This Row],[totale_730_dichiarante]]), 0)</f>
        <v>4.9933083483213911</v>
      </c>
    </row>
    <row r="634" spans="1:21" x14ac:dyDescent="0.3">
      <c r="A634">
        <v>335</v>
      </c>
      <c r="B634" s="1" t="s">
        <v>1056</v>
      </c>
      <c r="C634" s="1" t="s">
        <v>1057</v>
      </c>
      <c r="D634" s="2">
        <v>17699</v>
      </c>
      <c r="E634" s="1" t="s">
        <v>22</v>
      </c>
      <c r="F634" s="1" t="s">
        <v>30</v>
      </c>
      <c r="G634" s="1" t="s">
        <v>24</v>
      </c>
      <c r="H634" s="1" t="s">
        <v>24</v>
      </c>
      <c r="I634" s="1" t="s">
        <v>200</v>
      </c>
      <c r="J634">
        <v>163668</v>
      </c>
      <c r="K634">
        <v>0</v>
      </c>
      <c r="L634">
        <v>0</v>
      </c>
      <c r="M634">
        <v>0</v>
      </c>
      <c r="N634">
        <v>3</v>
      </c>
      <c r="O634" s="1" t="s">
        <v>32</v>
      </c>
      <c r="P634">
        <v>2</v>
      </c>
      <c r="Q634">
        <v>0</v>
      </c>
      <c r="R634">
        <v>0</v>
      </c>
      <c r="S634">
        <v>0</v>
      </c>
      <c r="T634">
        <v>0</v>
      </c>
      <c r="U634">
        <f>IF(openpolis_patrimoni_trasparenti_anno_2014[[#This Row],[totale_730_dichiarante]]&lt;&gt;0,LOG10(openpolis_patrimoni_trasparenti_anno_2014[[#This Row],[totale_730_dichiarante]]), 0)</f>
        <v>5.2139637754294803</v>
      </c>
    </row>
    <row r="635" spans="1:21" x14ac:dyDescent="0.3">
      <c r="A635">
        <v>686342</v>
      </c>
      <c r="B635" s="1" t="s">
        <v>305</v>
      </c>
      <c r="C635" s="1" t="s">
        <v>1058</v>
      </c>
      <c r="D635" s="2">
        <v>22720</v>
      </c>
      <c r="E635" s="1" t="s">
        <v>465</v>
      </c>
      <c r="F635" s="1" t="s">
        <v>30</v>
      </c>
      <c r="G635" s="1" t="s">
        <v>25</v>
      </c>
      <c r="H635" s="1" t="s">
        <v>68</v>
      </c>
      <c r="I635" s="1" t="s">
        <v>64</v>
      </c>
      <c r="J635">
        <v>164618</v>
      </c>
      <c r="K635">
        <v>0</v>
      </c>
      <c r="L635">
        <v>0</v>
      </c>
      <c r="M635">
        <v>0</v>
      </c>
      <c r="N635">
        <v>3</v>
      </c>
      <c r="O635" s="1" t="s">
        <v>32</v>
      </c>
      <c r="P635">
        <v>5</v>
      </c>
      <c r="Q635">
        <v>0</v>
      </c>
      <c r="R635">
        <v>1</v>
      </c>
      <c r="S635">
        <v>0</v>
      </c>
      <c r="T635">
        <v>0</v>
      </c>
      <c r="U635">
        <f>IF(openpolis_patrimoni_trasparenti_anno_2014[[#This Row],[totale_730_dichiarante]]&lt;&gt;0,LOG10(openpolis_patrimoni_trasparenti_anno_2014[[#This Row],[totale_730_dichiarante]]), 0)</f>
        <v>5.2164773209933291</v>
      </c>
    </row>
    <row r="636" spans="1:21" x14ac:dyDescent="0.3">
      <c r="A636">
        <v>686047</v>
      </c>
      <c r="B636" s="1" t="s">
        <v>99</v>
      </c>
      <c r="C636" s="1" t="s">
        <v>1059</v>
      </c>
      <c r="D636" s="2">
        <v>28628</v>
      </c>
      <c r="E636" s="1" t="s">
        <v>146</v>
      </c>
      <c r="F636" s="1" t="s">
        <v>30</v>
      </c>
      <c r="G636" s="1" t="s">
        <v>102</v>
      </c>
      <c r="H636" s="1" t="s">
        <v>102</v>
      </c>
      <c r="I636" s="1" t="s">
        <v>111</v>
      </c>
      <c r="J636">
        <v>78230</v>
      </c>
      <c r="K636">
        <v>0</v>
      </c>
      <c r="L636">
        <v>0</v>
      </c>
      <c r="M636">
        <v>0</v>
      </c>
      <c r="N636">
        <v>2</v>
      </c>
      <c r="O636" s="1" t="s">
        <v>43</v>
      </c>
      <c r="P636">
        <v>0</v>
      </c>
      <c r="Q636">
        <v>0</v>
      </c>
      <c r="R636">
        <v>1</v>
      </c>
      <c r="S636">
        <v>0</v>
      </c>
      <c r="T636">
        <v>0</v>
      </c>
      <c r="U636">
        <f>IF(openpolis_patrimoni_trasparenti_anno_2014[[#This Row],[totale_730_dichiarante]]&lt;&gt;0,LOG10(openpolis_patrimoni_trasparenti_anno_2014[[#This Row],[totale_730_dichiarante]]), 0)</f>
        <v>4.8933733302460247</v>
      </c>
    </row>
    <row r="637" spans="1:21" x14ac:dyDescent="0.3">
      <c r="A637">
        <v>332705</v>
      </c>
      <c r="B637" s="1" t="s">
        <v>1060</v>
      </c>
      <c r="C637" s="1" t="s">
        <v>1061</v>
      </c>
      <c r="D637" s="2">
        <v>21328</v>
      </c>
      <c r="E637" s="1" t="s">
        <v>35</v>
      </c>
      <c r="F637" s="1" t="s">
        <v>30</v>
      </c>
      <c r="G637" s="1" t="s">
        <v>24</v>
      </c>
      <c r="H637" s="1" t="s">
        <v>24</v>
      </c>
      <c r="I637" s="1" t="s">
        <v>55</v>
      </c>
      <c r="J637">
        <v>98633</v>
      </c>
      <c r="K637">
        <v>0</v>
      </c>
      <c r="L637">
        <v>0</v>
      </c>
      <c r="M637">
        <v>0</v>
      </c>
      <c r="N637">
        <v>3</v>
      </c>
      <c r="O637" s="1" t="s">
        <v>32</v>
      </c>
      <c r="P637">
        <v>2</v>
      </c>
      <c r="Q637">
        <v>0</v>
      </c>
      <c r="R637">
        <v>1</v>
      </c>
      <c r="S637">
        <v>1</v>
      </c>
      <c r="T637">
        <v>0</v>
      </c>
      <c r="U637">
        <f>IF(openpolis_patrimoni_trasparenti_anno_2014[[#This Row],[totale_730_dichiarante]]&lt;&gt;0,LOG10(openpolis_patrimoni_trasparenti_anno_2014[[#This Row],[totale_730_dichiarante]]), 0)</f>
        <v>4.9940222427315559</v>
      </c>
    </row>
    <row r="638" spans="1:21" x14ac:dyDescent="0.3">
      <c r="A638">
        <v>686695</v>
      </c>
      <c r="B638" s="1" t="s">
        <v>192</v>
      </c>
      <c r="C638" s="1" t="s">
        <v>1062</v>
      </c>
      <c r="D638" s="2">
        <v>25146</v>
      </c>
      <c r="E638" s="1" t="s">
        <v>49</v>
      </c>
      <c r="F638" s="1" t="s">
        <v>30</v>
      </c>
      <c r="G638" s="1" t="s">
        <v>24</v>
      </c>
      <c r="H638" s="1" t="s">
        <v>24</v>
      </c>
      <c r="I638" s="1" t="s">
        <v>46</v>
      </c>
      <c r="J638">
        <v>83638</v>
      </c>
      <c r="K638">
        <v>0</v>
      </c>
      <c r="L638">
        <v>900</v>
      </c>
      <c r="M638">
        <v>1641.7</v>
      </c>
      <c r="N638">
        <v>3</v>
      </c>
      <c r="O638" s="1" t="s">
        <v>32</v>
      </c>
      <c r="P638">
        <v>1</v>
      </c>
      <c r="Q638">
        <v>0</v>
      </c>
      <c r="R638">
        <v>1</v>
      </c>
      <c r="S638">
        <v>0</v>
      </c>
      <c r="T638">
        <v>0</v>
      </c>
      <c r="U638">
        <f>IF(openpolis_patrimoni_trasparenti_anno_2014[[#This Row],[totale_730_dichiarante]]&lt;&gt;0,LOG10(openpolis_patrimoni_trasparenti_anno_2014[[#This Row],[totale_730_dichiarante]]), 0)</f>
        <v>4.9224036391701578</v>
      </c>
    </row>
    <row r="639" spans="1:21" x14ac:dyDescent="0.3">
      <c r="A639">
        <v>687322</v>
      </c>
      <c r="B639" s="1" t="s">
        <v>257</v>
      </c>
      <c r="C639" s="1" t="s">
        <v>1063</v>
      </c>
      <c r="D639" s="2">
        <v>27818</v>
      </c>
      <c r="E639" s="1" t="s">
        <v>49</v>
      </c>
      <c r="F639" s="1" t="s">
        <v>30</v>
      </c>
      <c r="G639" s="1" t="s">
        <v>102</v>
      </c>
      <c r="H639" s="1" t="s">
        <v>102</v>
      </c>
      <c r="I639" s="1" t="s">
        <v>50</v>
      </c>
      <c r="J639">
        <v>78446</v>
      </c>
      <c r="K639">
        <v>0</v>
      </c>
      <c r="L639">
        <v>0</v>
      </c>
      <c r="M639">
        <v>0</v>
      </c>
      <c r="N639">
        <v>3</v>
      </c>
      <c r="O639" s="1" t="s">
        <v>32</v>
      </c>
      <c r="P639">
        <v>0</v>
      </c>
      <c r="Q639">
        <v>0</v>
      </c>
      <c r="R639">
        <v>0</v>
      </c>
      <c r="S639">
        <v>1</v>
      </c>
      <c r="T639">
        <v>0</v>
      </c>
      <c r="U639">
        <f>IF(openpolis_patrimoni_trasparenti_anno_2014[[#This Row],[totale_730_dichiarante]]&lt;&gt;0,LOG10(openpolis_patrimoni_trasparenti_anno_2014[[#This Row],[totale_730_dichiarante]]), 0)</f>
        <v>4.8945708035989703</v>
      </c>
    </row>
    <row r="640" spans="1:21" x14ac:dyDescent="0.3">
      <c r="A640">
        <v>685877</v>
      </c>
      <c r="B640" s="1" t="s">
        <v>1064</v>
      </c>
      <c r="C640" s="1" t="s">
        <v>1065</v>
      </c>
      <c r="D640" s="2">
        <v>30724</v>
      </c>
      <c r="E640" s="1" t="s">
        <v>63</v>
      </c>
      <c r="F640" s="1" t="s">
        <v>30</v>
      </c>
      <c r="G640" s="1" t="s">
        <v>102</v>
      </c>
      <c r="H640" s="1" t="s">
        <v>102</v>
      </c>
      <c r="I640" s="1" t="s">
        <v>194</v>
      </c>
      <c r="J640">
        <v>78229.8</v>
      </c>
      <c r="K640">
        <v>0</v>
      </c>
      <c r="L640">
        <v>0</v>
      </c>
      <c r="M640">
        <v>0</v>
      </c>
      <c r="N640">
        <v>3</v>
      </c>
      <c r="O640" s="1" t="s">
        <v>90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f>IF(openpolis_patrimoni_trasparenti_anno_2014[[#This Row],[totale_730_dichiarante]]&lt;&gt;0,LOG10(openpolis_patrimoni_trasparenti_anno_2014[[#This Row],[totale_730_dichiarante]]), 0)</f>
        <v>4.893372219942977</v>
      </c>
    </row>
    <row r="641" spans="1:21" x14ac:dyDescent="0.3">
      <c r="A641">
        <v>685807</v>
      </c>
      <c r="B641" s="1" t="s">
        <v>346</v>
      </c>
      <c r="C641" s="1" t="s">
        <v>1066</v>
      </c>
      <c r="D641" s="2">
        <v>27544</v>
      </c>
      <c r="E641" s="1" t="s">
        <v>49</v>
      </c>
      <c r="F641" s="1" t="s">
        <v>30</v>
      </c>
      <c r="G641" s="1" t="s">
        <v>102</v>
      </c>
      <c r="H641" s="1" t="s">
        <v>102</v>
      </c>
      <c r="I641" s="1" t="s">
        <v>178</v>
      </c>
      <c r="J641">
        <v>85617</v>
      </c>
      <c r="K641">
        <v>0</v>
      </c>
      <c r="L641">
        <v>0</v>
      </c>
      <c r="M641">
        <v>0</v>
      </c>
      <c r="N641">
        <v>3</v>
      </c>
      <c r="O641" s="1" t="s">
        <v>32</v>
      </c>
      <c r="P641">
        <v>1</v>
      </c>
      <c r="Q641">
        <v>0</v>
      </c>
      <c r="R641">
        <v>2</v>
      </c>
      <c r="S641">
        <v>0</v>
      </c>
      <c r="T641">
        <v>0</v>
      </c>
      <c r="U641">
        <f>IF(openpolis_patrimoni_trasparenti_anno_2014[[#This Row],[totale_730_dichiarante]]&lt;&gt;0,LOG10(openpolis_patrimoni_trasparenti_anno_2014[[#This Row],[totale_730_dichiarante]]), 0)</f>
        <v>4.9325600061860762</v>
      </c>
    </row>
    <row r="642" spans="1:21" x14ac:dyDescent="0.3">
      <c r="A642">
        <v>686666</v>
      </c>
      <c r="B642" s="1" t="s">
        <v>242</v>
      </c>
      <c r="C642" s="1" t="s">
        <v>1067</v>
      </c>
      <c r="D642" s="2">
        <v>32045</v>
      </c>
      <c r="E642" s="1" t="s">
        <v>63</v>
      </c>
      <c r="F642" s="1" t="s">
        <v>30</v>
      </c>
      <c r="G642" s="1" t="s">
        <v>102</v>
      </c>
      <c r="H642" s="1" t="s">
        <v>102</v>
      </c>
      <c r="I642" s="1" t="s">
        <v>38</v>
      </c>
      <c r="J642">
        <v>78280</v>
      </c>
      <c r="K642">
        <v>0</v>
      </c>
      <c r="L642">
        <v>0</v>
      </c>
      <c r="M642">
        <v>0</v>
      </c>
      <c r="N642">
        <v>2</v>
      </c>
      <c r="O642" s="1" t="s">
        <v>43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f>IF(openpolis_patrimoni_trasparenti_anno_2014[[#This Row],[totale_730_dichiarante]]&lt;&gt;0,LOG10(openpolis_patrimoni_trasparenti_anno_2014[[#This Row],[totale_730_dichiarante]]), 0)</f>
        <v>4.8936508169859634</v>
      </c>
    </row>
    <row r="643" spans="1:21" x14ac:dyDescent="0.3">
      <c r="A643">
        <v>685802</v>
      </c>
      <c r="B643" s="1" t="s">
        <v>508</v>
      </c>
      <c r="C643" s="1" t="s">
        <v>1068</v>
      </c>
      <c r="D643" s="2">
        <v>27800</v>
      </c>
      <c r="E643" s="1" t="s">
        <v>49</v>
      </c>
      <c r="F643" s="1" t="s">
        <v>30</v>
      </c>
      <c r="G643" s="1" t="s">
        <v>102</v>
      </c>
      <c r="H643" s="1" t="s">
        <v>102</v>
      </c>
      <c r="I643" s="1" t="s">
        <v>178</v>
      </c>
      <c r="J643">
        <v>83724</v>
      </c>
      <c r="K643">
        <v>0</v>
      </c>
      <c r="L643">
        <v>0</v>
      </c>
      <c r="M643">
        <v>0</v>
      </c>
      <c r="N643">
        <v>3</v>
      </c>
      <c r="O643" s="1" t="s">
        <v>32</v>
      </c>
      <c r="P643">
        <v>0</v>
      </c>
      <c r="Q643">
        <v>0</v>
      </c>
      <c r="R643">
        <v>1</v>
      </c>
      <c r="S643">
        <v>0</v>
      </c>
      <c r="T643">
        <v>0</v>
      </c>
      <c r="U643">
        <f>IF(openpolis_patrimoni_trasparenti_anno_2014[[#This Row],[totale_730_dichiarante]]&lt;&gt;0,LOG10(openpolis_patrimoni_trasparenti_anno_2014[[#This Row],[totale_730_dichiarante]]), 0)</f>
        <v>4.9228499690267684</v>
      </c>
    </row>
    <row r="644" spans="1:21" x14ac:dyDescent="0.3">
      <c r="A644">
        <v>685781</v>
      </c>
      <c r="B644" s="1" t="s">
        <v>431</v>
      </c>
      <c r="C644" s="1" t="s">
        <v>1069</v>
      </c>
      <c r="D644" s="2">
        <v>26906</v>
      </c>
      <c r="E644" s="1" t="s">
        <v>29</v>
      </c>
      <c r="F644" s="1" t="s">
        <v>30</v>
      </c>
      <c r="G644" s="1" t="s">
        <v>24</v>
      </c>
      <c r="H644" s="1" t="s">
        <v>127</v>
      </c>
      <c r="I644" s="1" t="s">
        <v>42</v>
      </c>
      <c r="J644">
        <v>94672</v>
      </c>
      <c r="K644">
        <v>0</v>
      </c>
      <c r="L644">
        <v>0</v>
      </c>
      <c r="M644">
        <v>0</v>
      </c>
      <c r="N644">
        <v>3</v>
      </c>
      <c r="O644" s="1" t="s">
        <v>32</v>
      </c>
      <c r="P644">
        <v>0</v>
      </c>
      <c r="Q644">
        <v>0</v>
      </c>
      <c r="R644">
        <v>1</v>
      </c>
      <c r="S644">
        <v>1</v>
      </c>
      <c r="T644">
        <v>0</v>
      </c>
      <c r="U644">
        <f>IF(openpolis_patrimoni_trasparenti_anno_2014[[#This Row],[totale_730_dichiarante]]&lt;&gt;0,LOG10(openpolis_patrimoni_trasparenti_anno_2014[[#This Row],[totale_730_dichiarante]]), 0)</f>
        <v>4.9762215519329365</v>
      </c>
    </row>
    <row r="645" spans="1:21" x14ac:dyDescent="0.3">
      <c r="A645">
        <v>9010</v>
      </c>
      <c r="B645" s="1" t="s">
        <v>355</v>
      </c>
      <c r="C645" s="1" t="s">
        <v>1070</v>
      </c>
      <c r="D645" s="2">
        <v>27755</v>
      </c>
      <c r="E645" s="1" t="s">
        <v>49</v>
      </c>
      <c r="F645" s="1" t="s">
        <v>30</v>
      </c>
      <c r="G645" s="1" t="s">
        <v>24</v>
      </c>
      <c r="H645" s="1" t="s">
        <v>24</v>
      </c>
      <c r="I645" s="1" t="s">
        <v>55</v>
      </c>
      <c r="J645">
        <v>86834</v>
      </c>
      <c r="K645">
        <v>0</v>
      </c>
      <c r="L645">
        <v>0</v>
      </c>
      <c r="M645">
        <v>0</v>
      </c>
      <c r="N645">
        <v>3</v>
      </c>
      <c r="O645" s="1" t="s">
        <v>32</v>
      </c>
      <c r="P645">
        <v>1</v>
      </c>
      <c r="Q645">
        <v>0</v>
      </c>
      <c r="R645">
        <v>2</v>
      </c>
      <c r="S645">
        <v>0</v>
      </c>
      <c r="T645">
        <v>0</v>
      </c>
      <c r="U645">
        <f>IF(openpolis_patrimoni_trasparenti_anno_2014[[#This Row],[totale_730_dichiarante]]&lt;&gt;0,LOG10(openpolis_patrimoni_trasparenti_anno_2014[[#This Row],[totale_730_dichiarante]]), 0)</f>
        <v>4.9386898072177212</v>
      </c>
    </row>
    <row r="646" spans="1:21" x14ac:dyDescent="0.3">
      <c r="A646">
        <v>333</v>
      </c>
      <c r="B646" s="1" t="s">
        <v>554</v>
      </c>
      <c r="C646" s="1" t="s">
        <v>1071</v>
      </c>
      <c r="D646" s="2">
        <v>24372</v>
      </c>
      <c r="E646" s="1" t="s">
        <v>41</v>
      </c>
      <c r="F646" s="1" t="s">
        <v>30</v>
      </c>
      <c r="G646" s="1" t="s">
        <v>167</v>
      </c>
      <c r="H646" s="1" t="s">
        <v>168</v>
      </c>
      <c r="I646" s="1" t="s">
        <v>169</v>
      </c>
      <c r="J646">
        <v>99525</v>
      </c>
      <c r="K646">
        <v>21920</v>
      </c>
      <c r="L646">
        <v>0</v>
      </c>
      <c r="M646">
        <v>0</v>
      </c>
      <c r="N646">
        <v>1</v>
      </c>
      <c r="O646" s="1" t="s">
        <v>1072</v>
      </c>
      <c r="P646">
        <v>13</v>
      </c>
      <c r="Q646">
        <v>9</v>
      </c>
      <c r="R646">
        <v>1</v>
      </c>
      <c r="S646">
        <v>0</v>
      </c>
      <c r="T646">
        <v>0</v>
      </c>
      <c r="U646">
        <f>IF(openpolis_patrimoni_trasparenti_anno_2014[[#This Row],[totale_730_dichiarante]]&lt;&gt;0,LOG10(openpolis_patrimoni_trasparenti_anno_2014[[#This Row],[totale_730_dichiarante]]), 0)</f>
        <v>4.9979321862561354</v>
      </c>
    </row>
    <row r="647" spans="1:21" x14ac:dyDescent="0.3">
      <c r="A647">
        <v>617979</v>
      </c>
      <c r="B647" s="1" t="s">
        <v>267</v>
      </c>
      <c r="C647" s="1" t="s">
        <v>1073</v>
      </c>
      <c r="D647" s="2">
        <v>23919</v>
      </c>
      <c r="E647" s="1" t="s">
        <v>156</v>
      </c>
      <c r="F647" s="1" t="s">
        <v>30</v>
      </c>
      <c r="G647" s="1" t="s">
        <v>36</v>
      </c>
      <c r="H647" s="1" t="s">
        <v>54</v>
      </c>
      <c r="I647" s="1" t="s">
        <v>132</v>
      </c>
      <c r="J647">
        <v>103142</v>
      </c>
      <c r="K647">
        <v>0</v>
      </c>
      <c r="L647">
        <v>0</v>
      </c>
      <c r="M647">
        <v>0</v>
      </c>
      <c r="N647">
        <v>3</v>
      </c>
      <c r="O647" s="1" t="s">
        <v>32</v>
      </c>
      <c r="P647">
        <v>1</v>
      </c>
      <c r="Q647">
        <v>0</v>
      </c>
      <c r="R647">
        <v>2</v>
      </c>
      <c r="S647">
        <v>0</v>
      </c>
      <c r="T647">
        <v>0</v>
      </c>
      <c r="U647">
        <f>IF(openpolis_patrimoni_trasparenti_anno_2014[[#This Row],[totale_730_dichiarante]]&lt;&gt;0,LOG10(openpolis_patrimoni_trasparenti_anno_2014[[#This Row],[totale_730_dichiarante]]), 0)</f>
        <v>5.0134355484449689</v>
      </c>
    </row>
    <row r="648" spans="1:21" x14ac:dyDescent="0.3">
      <c r="A648">
        <v>686660</v>
      </c>
      <c r="B648" s="1" t="s">
        <v>980</v>
      </c>
      <c r="C648" s="1" t="s">
        <v>1074</v>
      </c>
      <c r="D648" s="2">
        <v>26910</v>
      </c>
      <c r="E648" s="1" t="s">
        <v>49</v>
      </c>
      <c r="F648" s="1" t="s">
        <v>30</v>
      </c>
      <c r="G648" s="1" t="s">
        <v>102</v>
      </c>
      <c r="H648" s="1" t="s">
        <v>24</v>
      </c>
      <c r="I648" s="1" t="s">
        <v>38</v>
      </c>
      <c r="J648">
        <v>83562</v>
      </c>
      <c r="K648">
        <v>0</v>
      </c>
      <c r="L648">
        <v>0</v>
      </c>
      <c r="M648">
        <v>0</v>
      </c>
      <c r="N648">
        <v>3</v>
      </c>
      <c r="O648" s="1" t="s">
        <v>32</v>
      </c>
      <c r="P648">
        <v>1</v>
      </c>
      <c r="Q648">
        <v>0</v>
      </c>
      <c r="R648">
        <v>1</v>
      </c>
      <c r="S648">
        <v>0</v>
      </c>
      <c r="T648">
        <v>0</v>
      </c>
      <c r="U648">
        <f>IF(openpolis_patrimoni_trasparenti_anno_2014[[#This Row],[totale_730_dichiarante]]&lt;&gt;0,LOG10(openpolis_patrimoni_trasparenti_anno_2014[[#This Row],[totale_730_dichiarante]]), 0)</f>
        <v>4.9220088259776009</v>
      </c>
    </row>
    <row r="649" spans="1:21" x14ac:dyDescent="0.3">
      <c r="A649">
        <v>685996</v>
      </c>
      <c r="B649" s="1" t="s">
        <v>1075</v>
      </c>
      <c r="C649" s="1" t="s">
        <v>1076</v>
      </c>
      <c r="D649" s="2">
        <v>22411</v>
      </c>
      <c r="E649" s="1" t="s">
        <v>35</v>
      </c>
      <c r="F649" s="1" t="s">
        <v>30</v>
      </c>
      <c r="G649" s="1" t="s">
        <v>25</v>
      </c>
      <c r="H649" s="1" t="s">
        <v>68</v>
      </c>
      <c r="I649" s="1" t="s">
        <v>132</v>
      </c>
      <c r="J649">
        <v>89768</v>
      </c>
      <c r="K649">
        <v>0</v>
      </c>
      <c r="L649">
        <v>0</v>
      </c>
      <c r="M649">
        <v>0</v>
      </c>
      <c r="N649">
        <v>3</v>
      </c>
      <c r="O649" s="1" t="s">
        <v>32</v>
      </c>
      <c r="P649">
        <v>5</v>
      </c>
      <c r="Q649">
        <v>0</v>
      </c>
      <c r="R649">
        <v>1</v>
      </c>
      <c r="S649">
        <v>6</v>
      </c>
      <c r="T649">
        <v>1</v>
      </c>
      <c r="U649">
        <f>IF(openpolis_patrimoni_trasparenti_anno_2014[[#This Row],[totale_730_dichiarante]]&lt;&gt;0,LOG10(openpolis_patrimoni_trasparenti_anno_2014[[#This Row],[totale_730_dichiarante]]), 0)</f>
        <v>4.9531215493603451</v>
      </c>
    </row>
    <row r="650" spans="1:21" x14ac:dyDescent="0.3">
      <c r="A650">
        <v>504322</v>
      </c>
      <c r="B650" s="1" t="s">
        <v>1077</v>
      </c>
      <c r="C650" s="1" t="s">
        <v>1078</v>
      </c>
      <c r="D650" s="2">
        <v>31068</v>
      </c>
      <c r="E650" s="1" t="s">
        <v>114</v>
      </c>
      <c r="F650" s="1" t="s">
        <v>30</v>
      </c>
      <c r="G650" s="1" t="s">
        <v>24</v>
      </c>
      <c r="H650" s="1" t="s">
        <v>24</v>
      </c>
      <c r="I650" s="1" t="s">
        <v>169</v>
      </c>
      <c r="J650">
        <v>84946</v>
      </c>
      <c r="K650">
        <v>0</v>
      </c>
      <c r="L650">
        <v>0</v>
      </c>
      <c r="M650">
        <v>0</v>
      </c>
      <c r="N650">
        <v>3</v>
      </c>
      <c r="O650" s="1" t="s">
        <v>32</v>
      </c>
      <c r="P650">
        <v>1</v>
      </c>
      <c r="Q650">
        <v>0</v>
      </c>
      <c r="R650">
        <v>2</v>
      </c>
      <c r="S650">
        <v>1</v>
      </c>
      <c r="T650">
        <v>0</v>
      </c>
      <c r="U650">
        <f>IF(openpolis_patrimoni_trasparenti_anno_2014[[#This Row],[totale_730_dichiarante]]&lt;&gt;0,LOG10(openpolis_patrimoni_trasparenti_anno_2014[[#This Row],[totale_730_dichiarante]]), 0)</f>
        <v>4.9291429333071513</v>
      </c>
    </row>
    <row r="651" spans="1:21" x14ac:dyDescent="0.3">
      <c r="A651">
        <v>330</v>
      </c>
      <c r="B651" s="1" t="s">
        <v>387</v>
      </c>
      <c r="C651" s="1" t="s">
        <v>1079</v>
      </c>
      <c r="D651" s="2">
        <v>22527</v>
      </c>
      <c r="E651" s="1" t="s">
        <v>22</v>
      </c>
      <c r="F651" s="1" t="s">
        <v>30</v>
      </c>
      <c r="G651" s="1" t="s">
        <v>24</v>
      </c>
      <c r="H651" s="1" t="s">
        <v>24</v>
      </c>
      <c r="I651" s="1" t="s">
        <v>50</v>
      </c>
      <c r="J651">
        <v>98471</v>
      </c>
      <c r="K651">
        <v>0</v>
      </c>
      <c r="L651">
        <v>0</v>
      </c>
      <c r="M651">
        <v>0</v>
      </c>
      <c r="N651">
        <v>2</v>
      </c>
      <c r="O651" s="1" t="s">
        <v>43</v>
      </c>
      <c r="P651">
        <v>0</v>
      </c>
      <c r="Q651">
        <v>0</v>
      </c>
      <c r="R651">
        <v>2</v>
      </c>
      <c r="S651">
        <v>0</v>
      </c>
      <c r="T651">
        <v>0</v>
      </c>
      <c r="U651">
        <f>IF(openpolis_patrimoni_trasparenti_anno_2014[[#This Row],[totale_730_dichiarante]]&lt;&gt;0,LOG10(openpolis_patrimoni_trasparenti_anno_2014[[#This Row],[totale_730_dichiarante]]), 0)</f>
        <v>4.9933083483213911</v>
      </c>
    </row>
    <row r="652" spans="1:21" x14ac:dyDescent="0.3">
      <c r="A652">
        <v>126707</v>
      </c>
      <c r="B652" s="1" t="s">
        <v>228</v>
      </c>
      <c r="C652" s="1" t="s">
        <v>1080</v>
      </c>
      <c r="D652" s="2">
        <v>27489</v>
      </c>
      <c r="E652" s="1" t="s">
        <v>101</v>
      </c>
      <c r="F652" s="1" t="s">
        <v>30</v>
      </c>
      <c r="G652" s="1" t="s">
        <v>24</v>
      </c>
      <c r="H652" s="1" t="s">
        <v>24</v>
      </c>
      <c r="I652" s="1" t="s">
        <v>55</v>
      </c>
      <c r="J652">
        <v>79150</v>
      </c>
      <c r="K652">
        <v>0</v>
      </c>
      <c r="L652">
        <v>0</v>
      </c>
      <c r="M652">
        <v>0</v>
      </c>
      <c r="N652">
        <v>3</v>
      </c>
      <c r="O652" s="1" t="s">
        <v>32</v>
      </c>
      <c r="P652">
        <v>0</v>
      </c>
      <c r="Q652">
        <v>0</v>
      </c>
      <c r="R652">
        <v>1</v>
      </c>
      <c r="S652">
        <v>0</v>
      </c>
      <c r="T652">
        <v>0</v>
      </c>
      <c r="U652">
        <f>IF(openpolis_patrimoni_trasparenti_anno_2014[[#This Row],[totale_730_dichiarante]]&lt;&gt;0,LOG10(openpolis_patrimoni_trasparenti_anno_2014[[#This Row],[totale_730_dichiarante]]), 0)</f>
        <v>4.8984509191983747</v>
      </c>
    </row>
    <row r="653" spans="1:21" x14ac:dyDescent="0.3">
      <c r="A653">
        <v>685876</v>
      </c>
      <c r="B653" s="1" t="s">
        <v>646</v>
      </c>
      <c r="C653" s="1" t="s">
        <v>1081</v>
      </c>
      <c r="D653" s="2">
        <v>28956</v>
      </c>
      <c r="E653" s="1" t="s">
        <v>63</v>
      </c>
      <c r="F653" s="1" t="s">
        <v>30</v>
      </c>
      <c r="G653" s="1" t="s">
        <v>102</v>
      </c>
      <c r="H653" s="1" t="s">
        <v>102</v>
      </c>
      <c r="I653" s="1" t="s">
        <v>194</v>
      </c>
      <c r="J653">
        <v>81527</v>
      </c>
      <c r="K653">
        <v>0</v>
      </c>
      <c r="L653">
        <v>0</v>
      </c>
      <c r="M653">
        <v>0</v>
      </c>
      <c r="N653">
        <v>2</v>
      </c>
      <c r="O653" s="1" t="s">
        <v>43</v>
      </c>
      <c r="P653">
        <v>2</v>
      </c>
      <c r="Q653">
        <v>0</v>
      </c>
      <c r="R653">
        <v>1</v>
      </c>
      <c r="S653">
        <v>0</v>
      </c>
      <c r="T653">
        <v>0</v>
      </c>
      <c r="U653">
        <f>IF(openpolis_patrimoni_trasparenti_anno_2014[[#This Row],[totale_730_dichiarante]]&lt;&gt;0,LOG10(openpolis_patrimoni_trasparenti_anno_2014[[#This Row],[totale_730_dichiarante]]), 0)</f>
        <v>4.9113014616124282</v>
      </c>
    </row>
    <row r="654" spans="1:21" x14ac:dyDescent="0.3">
      <c r="A654">
        <v>494722</v>
      </c>
      <c r="B654" s="1" t="s">
        <v>778</v>
      </c>
      <c r="C654" s="1" t="s">
        <v>1082</v>
      </c>
      <c r="D654" s="2">
        <v>26357</v>
      </c>
      <c r="E654" s="1" t="s">
        <v>41</v>
      </c>
      <c r="F654" s="1" t="s">
        <v>30</v>
      </c>
      <c r="G654" s="1" t="s">
        <v>24</v>
      </c>
      <c r="H654" s="1" t="s">
        <v>24</v>
      </c>
      <c r="I654" s="1" t="s">
        <v>42</v>
      </c>
      <c r="J654">
        <v>105956</v>
      </c>
      <c r="K654">
        <v>0</v>
      </c>
      <c r="L654">
        <v>0</v>
      </c>
      <c r="M654">
        <v>0</v>
      </c>
      <c r="N654">
        <v>3</v>
      </c>
      <c r="O654" s="1" t="s">
        <v>32</v>
      </c>
      <c r="P654">
        <v>1</v>
      </c>
      <c r="Q654">
        <v>0</v>
      </c>
      <c r="R654">
        <v>1</v>
      </c>
      <c r="S654">
        <v>0</v>
      </c>
      <c r="T654">
        <v>0</v>
      </c>
      <c r="U654">
        <f>IF(openpolis_patrimoni_trasparenti_anno_2014[[#This Row],[totale_730_dichiarante]]&lt;&gt;0,LOG10(openpolis_patrimoni_trasparenti_anno_2014[[#This Row],[totale_730_dichiarante]]), 0)</f>
        <v>5.0251255546580573</v>
      </c>
    </row>
    <row r="655" spans="1:21" x14ac:dyDescent="0.3">
      <c r="A655">
        <v>687375</v>
      </c>
      <c r="B655" s="1" t="s">
        <v>1083</v>
      </c>
      <c r="C655" s="1" t="s">
        <v>1084</v>
      </c>
      <c r="D655" s="2">
        <v>29004</v>
      </c>
      <c r="E655" s="1" t="s">
        <v>22</v>
      </c>
      <c r="F655" s="1" t="s">
        <v>30</v>
      </c>
      <c r="G655" s="1" t="s">
        <v>126</v>
      </c>
      <c r="H655" s="1" t="s">
        <v>127</v>
      </c>
      <c r="I655" s="1" t="s">
        <v>200</v>
      </c>
      <c r="J655">
        <v>78926</v>
      </c>
      <c r="K655">
        <v>0</v>
      </c>
      <c r="L655">
        <v>0</v>
      </c>
      <c r="M655">
        <v>0</v>
      </c>
      <c r="N655">
        <v>3</v>
      </c>
      <c r="O655" s="1" t="s">
        <v>32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f>IF(openpolis_patrimoni_trasparenti_anno_2014[[#This Row],[totale_730_dichiarante]]&lt;&gt;0,LOG10(openpolis_patrimoni_trasparenti_anno_2014[[#This Row],[totale_730_dichiarante]]), 0)</f>
        <v>4.8972200931519092</v>
      </c>
    </row>
    <row r="656" spans="1:21" x14ac:dyDescent="0.3">
      <c r="A656">
        <v>313965</v>
      </c>
      <c r="B656" s="1" t="s">
        <v>329</v>
      </c>
      <c r="C656" s="1" t="s">
        <v>1085</v>
      </c>
      <c r="D656" s="2">
        <v>17564</v>
      </c>
      <c r="E656" s="1" t="s">
        <v>49</v>
      </c>
      <c r="F656" s="1" t="s">
        <v>30</v>
      </c>
      <c r="G656" s="1" t="s">
        <v>24</v>
      </c>
      <c r="H656" s="1" t="s">
        <v>24</v>
      </c>
      <c r="I656" s="1" t="s">
        <v>50</v>
      </c>
      <c r="J656">
        <v>165501</v>
      </c>
      <c r="K656">
        <v>0</v>
      </c>
      <c r="L656">
        <v>0</v>
      </c>
      <c r="M656">
        <v>0</v>
      </c>
      <c r="N656">
        <v>3</v>
      </c>
      <c r="O656" s="1" t="s">
        <v>32</v>
      </c>
      <c r="P656">
        <v>2</v>
      </c>
      <c r="Q656">
        <v>0</v>
      </c>
      <c r="R656">
        <v>1</v>
      </c>
      <c r="S656">
        <v>0</v>
      </c>
      <c r="T656">
        <v>0</v>
      </c>
      <c r="U656">
        <f>IF(openpolis_patrimoni_trasparenti_anno_2014[[#This Row],[totale_730_dichiarante]]&lt;&gt;0,LOG10(openpolis_patrimoni_trasparenti_anno_2014[[#This Row],[totale_730_dichiarante]]), 0)</f>
        <v>5.2188006222396517</v>
      </c>
    </row>
    <row r="657" spans="1:21" x14ac:dyDescent="0.3">
      <c r="A657">
        <v>685984</v>
      </c>
      <c r="B657" s="1" t="s">
        <v>276</v>
      </c>
      <c r="C657" s="1" t="s">
        <v>1086</v>
      </c>
      <c r="D657" s="2">
        <v>29929</v>
      </c>
      <c r="E657" s="1" t="s">
        <v>307</v>
      </c>
      <c r="F657" s="1" t="s">
        <v>30</v>
      </c>
      <c r="G657" s="1" t="s">
        <v>102</v>
      </c>
      <c r="H657" s="1" t="s">
        <v>102</v>
      </c>
      <c r="I657" s="1" t="s">
        <v>72</v>
      </c>
      <c r="J657">
        <v>80612</v>
      </c>
      <c r="K657">
        <v>0</v>
      </c>
      <c r="L657">
        <v>0</v>
      </c>
      <c r="M657">
        <v>0</v>
      </c>
      <c r="N657">
        <v>2</v>
      </c>
      <c r="O657" s="1" t="s">
        <v>43</v>
      </c>
      <c r="P657">
        <v>2</v>
      </c>
      <c r="Q657">
        <v>0</v>
      </c>
      <c r="R657">
        <v>1</v>
      </c>
      <c r="S657">
        <v>0</v>
      </c>
      <c r="T657">
        <v>0</v>
      </c>
      <c r="U657">
        <f>IF(openpolis_patrimoni_trasparenti_anno_2014[[#This Row],[totale_730_dichiarante]]&lt;&gt;0,LOG10(openpolis_patrimoni_trasparenti_anno_2014[[#This Row],[totale_730_dichiarante]]), 0)</f>
        <v>4.9063996962203014</v>
      </c>
    </row>
    <row r="658" spans="1:21" x14ac:dyDescent="0.3">
      <c r="A658">
        <v>685684</v>
      </c>
      <c r="B658" s="1" t="s">
        <v>265</v>
      </c>
      <c r="C658" s="1" t="s">
        <v>1087</v>
      </c>
      <c r="D658" s="2">
        <v>29667</v>
      </c>
      <c r="E658" s="1" t="s">
        <v>41</v>
      </c>
      <c r="F658" s="1" t="s">
        <v>30</v>
      </c>
      <c r="G658" s="1" t="s">
        <v>102</v>
      </c>
      <c r="H658" s="1" t="s">
        <v>102</v>
      </c>
      <c r="I658" s="1" t="s">
        <v>76</v>
      </c>
      <c r="J658">
        <v>80720</v>
      </c>
      <c r="K658">
        <v>0</v>
      </c>
      <c r="L658">
        <v>0</v>
      </c>
      <c r="M658">
        <v>0</v>
      </c>
      <c r="N658">
        <v>2</v>
      </c>
      <c r="O658" s="1" t="s">
        <v>43</v>
      </c>
      <c r="P658">
        <v>2</v>
      </c>
      <c r="Q658">
        <v>0</v>
      </c>
      <c r="R658">
        <v>1</v>
      </c>
      <c r="S658">
        <v>0</v>
      </c>
      <c r="T658">
        <v>0</v>
      </c>
      <c r="U658">
        <f>IF(openpolis_patrimoni_trasparenti_anno_2014[[#This Row],[totale_730_dichiarante]]&lt;&gt;0,LOG10(openpolis_patrimoni_trasparenti_anno_2014[[#This Row],[totale_730_dichiarante]]), 0)</f>
        <v>4.9069811532288545</v>
      </c>
    </row>
    <row r="659" spans="1:21" x14ac:dyDescent="0.3">
      <c r="A659">
        <v>4537</v>
      </c>
      <c r="B659" s="1" t="s">
        <v>84</v>
      </c>
      <c r="C659" s="1" t="s">
        <v>1088</v>
      </c>
      <c r="D659" s="2">
        <v>27610</v>
      </c>
      <c r="E659" s="1" t="s">
        <v>63</v>
      </c>
      <c r="F659" s="1" t="s">
        <v>30</v>
      </c>
      <c r="G659" s="1" t="s">
        <v>24</v>
      </c>
      <c r="H659" s="1" t="s">
        <v>54</v>
      </c>
      <c r="I659" s="1" t="s">
        <v>64</v>
      </c>
      <c r="J659">
        <v>105469</v>
      </c>
      <c r="K659">
        <v>0</v>
      </c>
      <c r="L659">
        <v>1575</v>
      </c>
      <c r="M659">
        <v>0</v>
      </c>
      <c r="N659">
        <v>2</v>
      </c>
      <c r="O659" s="1" t="s">
        <v>43</v>
      </c>
      <c r="P659">
        <v>0</v>
      </c>
      <c r="Q659">
        <v>0</v>
      </c>
      <c r="R659">
        <v>1</v>
      </c>
      <c r="S659">
        <v>1</v>
      </c>
      <c r="T659">
        <v>0</v>
      </c>
      <c r="U659">
        <f>IF(openpolis_patrimoni_trasparenti_anno_2014[[#This Row],[totale_730_dichiarante]]&lt;&gt;0,LOG10(openpolis_patrimoni_trasparenti_anno_2014[[#This Row],[totale_730_dichiarante]]), 0)</f>
        <v>5.0231248282846899</v>
      </c>
    </row>
    <row r="660" spans="1:21" x14ac:dyDescent="0.3">
      <c r="A660">
        <v>303</v>
      </c>
      <c r="B660" s="1" t="s">
        <v>1089</v>
      </c>
      <c r="C660" s="1" t="s">
        <v>1090</v>
      </c>
      <c r="D660" s="2">
        <v>23519</v>
      </c>
      <c r="E660" s="1" t="s">
        <v>666</v>
      </c>
      <c r="F660" s="1" t="s">
        <v>30</v>
      </c>
      <c r="G660" s="1" t="s">
        <v>25</v>
      </c>
      <c r="H660" s="1" t="s">
        <v>876</v>
      </c>
      <c r="I660" s="1" t="s">
        <v>132</v>
      </c>
      <c r="J660">
        <v>118571</v>
      </c>
      <c r="K660">
        <v>0</v>
      </c>
      <c r="L660">
        <v>0</v>
      </c>
      <c r="M660">
        <v>0</v>
      </c>
      <c r="N660">
        <v>3</v>
      </c>
      <c r="O660" s="1" t="s">
        <v>32</v>
      </c>
      <c r="P660">
        <v>4</v>
      </c>
      <c r="Q660">
        <v>5</v>
      </c>
      <c r="R660">
        <v>2</v>
      </c>
      <c r="S660">
        <v>0</v>
      </c>
      <c r="T660">
        <v>0</v>
      </c>
      <c r="U660">
        <f>IF(openpolis_patrimoni_trasparenti_anno_2014[[#This Row],[totale_730_dichiarante]]&lt;&gt;0,LOG10(openpolis_patrimoni_trasparenti_anno_2014[[#This Row],[totale_730_dichiarante]]), 0)</f>
        <v>5.0739784826198893</v>
      </c>
    </row>
    <row r="661" spans="1:21" x14ac:dyDescent="0.3">
      <c r="A661">
        <v>501219</v>
      </c>
      <c r="B661" s="1" t="s">
        <v>1091</v>
      </c>
      <c r="C661" s="1" t="s">
        <v>1092</v>
      </c>
      <c r="D661" s="2">
        <v>28547</v>
      </c>
      <c r="E661" s="1" t="s">
        <v>29</v>
      </c>
      <c r="F661" s="1" t="s">
        <v>30</v>
      </c>
      <c r="G661" s="1" t="s">
        <v>24</v>
      </c>
      <c r="H661" s="1" t="s">
        <v>24</v>
      </c>
      <c r="I661" s="1" t="s">
        <v>64</v>
      </c>
      <c r="J661">
        <v>87511</v>
      </c>
      <c r="K661">
        <v>0</v>
      </c>
      <c r="L661">
        <v>0</v>
      </c>
      <c r="M661">
        <v>0</v>
      </c>
      <c r="N661">
        <v>3</v>
      </c>
      <c r="O661" s="1" t="s">
        <v>32</v>
      </c>
      <c r="P661">
        <v>0</v>
      </c>
      <c r="Q661">
        <v>0</v>
      </c>
      <c r="R661">
        <v>2</v>
      </c>
      <c r="S661">
        <v>0</v>
      </c>
      <c r="T661">
        <v>0</v>
      </c>
      <c r="U661">
        <f>IF(openpolis_patrimoni_trasparenti_anno_2014[[#This Row],[totale_730_dichiarante]]&lt;&gt;0,LOG10(openpolis_patrimoni_trasparenti_anno_2014[[#This Row],[totale_730_dichiarante]]), 0)</f>
        <v>4.9420626466113706</v>
      </c>
    </row>
    <row r="662" spans="1:21" x14ac:dyDescent="0.3">
      <c r="A662">
        <v>685886</v>
      </c>
      <c r="B662" s="1" t="s">
        <v>56</v>
      </c>
      <c r="C662" s="1" t="s">
        <v>1093</v>
      </c>
      <c r="D662" s="2">
        <v>16246</v>
      </c>
      <c r="E662" s="1" t="s">
        <v>35</v>
      </c>
      <c r="F662" s="1" t="s">
        <v>30</v>
      </c>
      <c r="G662" s="1" t="s">
        <v>25</v>
      </c>
      <c r="H662" s="1" t="s">
        <v>68</v>
      </c>
      <c r="I662" s="1" t="s">
        <v>264</v>
      </c>
      <c r="J662">
        <v>444060</v>
      </c>
      <c r="K662">
        <v>0</v>
      </c>
      <c r="L662">
        <v>0</v>
      </c>
      <c r="M662">
        <v>0</v>
      </c>
      <c r="N662">
        <v>3</v>
      </c>
      <c r="O662" s="1" t="s">
        <v>32</v>
      </c>
      <c r="P662">
        <v>3</v>
      </c>
      <c r="Q662">
        <v>0</v>
      </c>
      <c r="R662">
        <v>4</v>
      </c>
      <c r="S662">
        <v>8</v>
      </c>
      <c r="T662">
        <v>4</v>
      </c>
      <c r="U662">
        <f>IF(openpolis_patrimoni_trasparenti_anno_2014[[#This Row],[totale_730_dichiarante]]&lt;&gt;0,LOG10(openpolis_patrimoni_trasparenti_anno_2014[[#This Row],[totale_730_dichiarante]]), 0)</f>
        <v>5.6474416545930417</v>
      </c>
    </row>
    <row r="663" spans="1:21" x14ac:dyDescent="0.3">
      <c r="A663">
        <v>298</v>
      </c>
      <c r="B663" s="1" t="s">
        <v>619</v>
      </c>
      <c r="C663" s="1" t="s">
        <v>1094</v>
      </c>
      <c r="D663" s="2">
        <v>14910</v>
      </c>
      <c r="E663" s="1" t="s">
        <v>22</v>
      </c>
      <c r="F663" s="1" t="s">
        <v>30</v>
      </c>
      <c r="G663" s="1" t="s">
        <v>36</v>
      </c>
      <c r="H663" s="1" t="s">
        <v>168</v>
      </c>
      <c r="I663" s="1" t="s">
        <v>50</v>
      </c>
      <c r="J663">
        <v>149104</v>
      </c>
      <c r="K663">
        <v>0</v>
      </c>
      <c r="L663">
        <v>0</v>
      </c>
      <c r="M663">
        <v>0</v>
      </c>
      <c r="N663">
        <v>3</v>
      </c>
      <c r="O663" s="1" t="s">
        <v>32</v>
      </c>
      <c r="P663">
        <v>1</v>
      </c>
      <c r="Q663">
        <v>0</v>
      </c>
      <c r="R663">
        <v>1</v>
      </c>
      <c r="S663">
        <v>0</v>
      </c>
      <c r="T663">
        <v>0</v>
      </c>
      <c r="U663">
        <f>IF(openpolis_patrimoni_trasparenti_anno_2014[[#This Row],[totale_730_dichiarante]]&lt;&gt;0,LOG10(openpolis_patrimoni_trasparenti_anno_2014[[#This Row],[totale_730_dichiarante]]), 0)</f>
        <v>5.1734892943894524</v>
      </c>
    </row>
    <row r="664" spans="1:21" x14ac:dyDescent="0.3">
      <c r="A664">
        <v>685927</v>
      </c>
      <c r="B664" s="1" t="s">
        <v>978</v>
      </c>
      <c r="C664" s="1" t="s">
        <v>1095</v>
      </c>
      <c r="D664" s="2">
        <v>31396</v>
      </c>
      <c r="E664" s="1" t="s">
        <v>29</v>
      </c>
      <c r="F664" s="1" t="s">
        <v>30</v>
      </c>
      <c r="G664" s="1" t="s">
        <v>102</v>
      </c>
      <c r="H664" s="1" t="s">
        <v>102</v>
      </c>
      <c r="I664" s="1" t="s">
        <v>200</v>
      </c>
      <c r="J664">
        <v>79829</v>
      </c>
      <c r="K664">
        <v>0</v>
      </c>
      <c r="L664">
        <v>0</v>
      </c>
      <c r="M664">
        <v>0</v>
      </c>
      <c r="N664">
        <v>3</v>
      </c>
      <c r="O664" s="1" t="s">
        <v>32</v>
      </c>
      <c r="P664">
        <v>0</v>
      </c>
      <c r="Q664">
        <v>0</v>
      </c>
      <c r="R664">
        <v>1</v>
      </c>
      <c r="S664">
        <v>0</v>
      </c>
      <c r="T664">
        <v>0</v>
      </c>
      <c r="U664">
        <f>IF(openpolis_patrimoni_trasparenti_anno_2014[[#This Row],[totale_730_dichiarante]]&lt;&gt;0,LOG10(openpolis_patrimoni_trasparenti_anno_2014[[#This Row],[totale_730_dichiarante]]), 0)</f>
        <v>4.9021606889954397</v>
      </c>
    </row>
    <row r="665" spans="1:21" x14ac:dyDescent="0.3">
      <c r="A665">
        <v>5078</v>
      </c>
      <c r="B665" s="1" t="s">
        <v>1096</v>
      </c>
      <c r="C665" s="1" t="s">
        <v>1097</v>
      </c>
      <c r="D665" s="2">
        <v>21209</v>
      </c>
      <c r="E665" s="1" t="s">
        <v>41</v>
      </c>
      <c r="F665" s="1" t="s">
        <v>30</v>
      </c>
      <c r="G665" s="1" t="s">
        <v>36</v>
      </c>
      <c r="H665" s="1" t="s">
        <v>54</v>
      </c>
      <c r="I665" s="1" t="s">
        <v>115</v>
      </c>
      <c r="J665">
        <v>373401</v>
      </c>
      <c r="K665">
        <v>0</v>
      </c>
      <c r="L665">
        <v>0</v>
      </c>
      <c r="M665">
        <v>0</v>
      </c>
      <c r="N665">
        <v>3</v>
      </c>
      <c r="O665" s="1" t="s">
        <v>32</v>
      </c>
      <c r="P665">
        <v>6</v>
      </c>
      <c r="Q665">
        <v>1</v>
      </c>
      <c r="R665">
        <v>3</v>
      </c>
      <c r="S665">
        <v>1</v>
      </c>
      <c r="T665">
        <v>0</v>
      </c>
      <c r="U665">
        <f>IF(openpolis_patrimoni_trasparenti_anno_2014[[#This Row],[totale_730_dichiarante]]&lt;&gt;0,LOG10(openpolis_patrimoni_trasparenti_anno_2014[[#This Row],[totale_730_dichiarante]]), 0)</f>
        <v>5.5721754766925997</v>
      </c>
    </row>
    <row r="666" spans="1:21" x14ac:dyDescent="0.3">
      <c r="A666">
        <v>687643</v>
      </c>
      <c r="B666" s="1" t="s">
        <v>1098</v>
      </c>
      <c r="C666" s="1" t="s">
        <v>1099</v>
      </c>
      <c r="D666" s="2">
        <v>30317</v>
      </c>
      <c r="E666" s="1" t="s">
        <v>156</v>
      </c>
      <c r="F666" s="1" t="s">
        <v>30</v>
      </c>
      <c r="G666" s="1" t="s">
        <v>24</v>
      </c>
      <c r="H666" s="1" t="s">
        <v>24</v>
      </c>
      <c r="I666" s="1" t="s">
        <v>132</v>
      </c>
      <c r="J666">
        <v>78229.8</v>
      </c>
      <c r="K666">
        <v>0</v>
      </c>
      <c r="L666">
        <v>0</v>
      </c>
      <c r="M666">
        <v>0</v>
      </c>
      <c r="N666">
        <v>3</v>
      </c>
      <c r="O666" s="1" t="s">
        <v>90</v>
      </c>
      <c r="P666">
        <v>1</v>
      </c>
      <c r="Q666">
        <v>0</v>
      </c>
      <c r="R666">
        <v>1</v>
      </c>
      <c r="S666">
        <v>0</v>
      </c>
      <c r="T666">
        <v>0</v>
      </c>
      <c r="U666">
        <f>IF(openpolis_patrimoni_trasparenti_anno_2014[[#This Row],[totale_730_dichiarante]]&lt;&gt;0,LOG10(openpolis_patrimoni_trasparenti_anno_2014[[#This Row],[totale_730_dichiarante]]), 0)</f>
        <v>4.893372219942977</v>
      </c>
    </row>
    <row r="667" spans="1:21" x14ac:dyDescent="0.3">
      <c r="A667">
        <v>685993</v>
      </c>
      <c r="B667" s="1" t="s">
        <v>1100</v>
      </c>
      <c r="C667" s="1" t="s">
        <v>1101</v>
      </c>
      <c r="D667" s="2">
        <v>25100</v>
      </c>
      <c r="E667" s="1" t="s">
        <v>29</v>
      </c>
      <c r="F667" s="1" t="s">
        <v>30</v>
      </c>
      <c r="G667" s="1" t="s">
        <v>25</v>
      </c>
      <c r="H667" s="1" t="s">
        <v>68</v>
      </c>
      <c r="I667" s="1" t="s">
        <v>132</v>
      </c>
      <c r="J667">
        <v>95744</v>
      </c>
      <c r="K667">
        <v>34356</v>
      </c>
      <c r="L667">
        <v>0</v>
      </c>
      <c r="M667">
        <v>0</v>
      </c>
      <c r="N667">
        <v>3</v>
      </c>
      <c r="O667" s="1" t="s">
        <v>32</v>
      </c>
      <c r="P667">
        <v>12</v>
      </c>
      <c r="Q667">
        <v>0</v>
      </c>
      <c r="R667">
        <v>2</v>
      </c>
      <c r="S667">
        <v>0</v>
      </c>
      <c r="T667">
        <v>0</v>
      </c>
      <c r="U667">
        <f>IF(openpolis_patrimoni_trasparenti_anno_2014[[#This Row],[totale_730_dichiarante]]&lt;&gt;0,LOG10(openpolis_patrimoni_trasparenti_anno_2014[[#This Row],[totale_730_dichiarante]]), 0)</f>
        <v>4.9811115675123299</v>
      </c>
    </row>
    <row r="668" spans="1:21" x14ac:dyDescent="0.3">
      <c r="A668">
        <v>332701</v>
      </c>
      <c r="B668" s="1" t="s">
        <v>511</v>
      </c>
      <c r="C668" s="1" t="s">
        <v>1102</v>
      </c>
      <c r="D668" s="2">
        <v>25180</v>
      </c>
      <c r="E668" s="1" t="s">
        <v>29</v>
      </c>
      <c r="F668" s="1" t="s">
        <v>30</v>
      </c>
      <c r="G668" s="1" t="s">
        <v>36</v>
      </c>
      <c r="H668" s="1" t="s">
        <v>37</v>
      </c>
      <c r="I668" s="1" t="s">
        <v>64</v>
      </c>
      <c r="J668">
        <v>97687</v>
      </c>
      <c r="K668">
        <v>0</v>
      </c>
      <c r="L668">
        <v>0</v>
      </c>
      <c r="M668">
        <v>0</v>
      </c>
      <c r="N668">
        <v>3</v>
      </c>
      <c r="O668" s="1" t="s">
        <v>32</v>
      </c>
      <c r="P668">
        <v>2</v>
      </c>
      <c r="Q668">
        <v>0</v>
      </c>
      <c r="R668">
        <v>1</v>
      </c>
      <c r="S668">
        <v>0</v>
      </c>
      <c r="T668">
        <v>0</v>
      </c>
      <c r="U668">
        <f>IF(openpolis_patrimoni_trasparenti_anno_2014[[#This Row],[totale_730_dichiarante]]&lt;&gt;0,LOG10(openpolis_patrimoni_trasparenti_anno_2014[[#This Row],[totale_730_dichiarante]]), 0)</f>
        <v>4.9898367724811461</v>
      </c>
    </row>
    <row r="669" spans="1:21" x14ac:dyDescent="0.3">
      <c r="A669">
        <v>291</v>
      </c>
      <c r="B669" s="1" t="s">
        <v>192</v>
      </c>
      <c r="C669" s="1" t="s">
        <v>1101</v>
      </c>
      <c r="D669" s="2">
        <v>19043</v>
      </c>
      <c r="E669" s="1" t="s">
        <v>41</v>
      </c>
      <c r="F669" s="1" t="s">
        <v>30</v>
      </c>
      <c r="G669" s="1" t="s">
        <v>36</v>
      </c>
      <c r="H669" s="1" t="s">
        <v>37</v>
      </c>
      <c r="I669" s="1" t="s">
        <v>264</v>
      </c>
      <c r="J669">
        <v>96097</v>
      </c>
      <c r="K669">
        <v>0</v>
      </c>
      <c r="L669">
        <v>0</v>
      </c>
      <c r="M669">
        <v>0</v>
      </c>
      <c r="N669">
        <v>3</v>
      </c>
      <c r="O669" s="1" t="s">
        <v>32</v>
      </c>
      <c r="P669">
        <v>4</v>
      </c>
      <c r="Q669">
        <v>0</v>
      </c>
      <c r="R669">
        <v>4</v>
      </c>
      <c r="S669">
        <v>0</v>
      </c>
      <c r="T669">
        <v>0</v>
      </c>
      <c r="U669">
        <f>IF(openpolis_patrimoni_trasparenti_anno_2014[[#This Row],[totale_730_dichiarante]]&lt;&gt;0,LOG10(openpolis_patrimoni_trasparenti_anno_2014[[#This Row],[totale_730_dichiarante]]), 0)</f>
        <v>4.9827098298768444</v>
      </c>
    </row>
    <row r="670" spans="1:21" x14ac:dyDescent="0.3">
      <c r="A670">
        <v>1745</v>
      </c>
      <c r="B670" s="1" t="s">
        <v>1103</v>
      </c>
      <c r="C670" s="1" t="s">
        <v>1104</v>
      </c>
      <c r="D670" s="2">
        <v>24009</v>
      </c>
      <c r="E670" s="1" t="s">
        <v>49</v>
      </c>
      <c r="F670" s="1" t="s">
        <v>30</v>
      </c>
      <c r="G670" s="1" t="s">
        <v>25</v>
      </c>
      <c r="H670" s="1" t="s">
        <v>876</v>
      </c>
      <c r="I670" s="1" t="s">
        <v>46</v>
      </c>
      <c r="J670">
        <v>78252</v>
      </c>
      <c r="K670">
        <v>0</v>
      </c>
      <c r="L670">
        <v>0</v>
      </c>
      <c r="M670">
        <v>0</v>
      </c>
      <c r="N670">
        <v>3</v>
      </c>
      <c r="O670" s="1" t="s">
        <v>32</v>
      </c>
      <c r="P670">
        <v>2</v>
      </c>
      <c r="Q670">
        <v>1</v>
      </c>
      <c r="R670">
        <v>2</v>
      </c>
      <c r="S670">
        <v>0</v>
      </c>
      <c r="T670">
        <v>0</v>
      </c>
      <c r="U670">
        <f>IF(openpolis_patrimoni_trasparenti_anno_2014[[#This Row],[totale_730_dichiarante]]&lt;&gt;0,LOG10(openpolis_patrimoni_trasparenti_anno_2014[[#This Row],[totale_730_dichiarante]]), 0)</f>
        <v>4.8934954462550841</v>
      </c>
    </row>
    <row r="671" spans="1:21" x14ac:dyDescent="0.3">
      <c r="A671">
        <v>686479</v>
      </c>
      <c r="B671" s="1" t="s">
        <v>242</v>
      </c>
      <c r="C671" s="1" t="s">
        <v>1105</v>
      </c>
      <c r="D671" s="2">
        <v>27517</v>
      </c>
      <c r="E671" s="1" t="s">
        <v>49</v>
      </c>
      <c r="F671" s="1" t="s">
        <v>30</v>
      </c>
      <c r="G671" s="1" t="s">
        <v>102</v>
      </c>
      <c r="H671" s="1" t="s">
        <v>102</v>
      </c>
      <c r="I671" s="1" t="s">
        <v>115</v>
      </c>
      <c r="J671">
        <v>97259</v>
      </c>
      <c r="K671">
        <v>0</v>
      </c>
      <c r="L671">
        <v>0</v>
      </c>
      <c r="M671">
        <v>0</v>
      </c>
      <c r="N671">
        <v>3</v>
      </c>
      <c r="O671" s="1" t="s">
        <v>32</v>
      </c>
      <c r="P671">
        <v>2</v>
      </c>
      <c r="Q671">
        <v>1</v>
      </c>
      <c r="R671">
        <v>1</v>
      </c>
      <c r="S671">
        <v>0</v>
      </c>
      <c r="T671">
        <v>0</v>
      </c>
      <c r="U671">
        <f>IF(openpolis_patrimoni_trasparenti_anno_2014[[#This Row],[totale_730_dichiarante]]&lt;&gt;0,LOG10(openpolis_patrimoni_trasparenti_anno_2014[[#This Row],[totale_730_dichiarante]]), 0)</f>
        <v>4.9879297999153316</v>
      </c>
    </row>
    <row r="672" spans="1:21" x14ac:dyDescent="0.3">
      <c r="A672">
        <v>686038</v>
      </c>
      <c r="B672" s="1" t="s">
        <v>904</v>
      </c>
      <c r="C672" s="1" t="s">
        <v>1106</v>
      </c>
      <c r="D672" s="2">
        <v>27135</v>
      </c>
      <c r="E672" s="1" t="s">
        <v>29</v>
      </c>
      <c r="F672" s="1" t="s">
        <v>30</v>
      </c>
      <c r="G672" s="1" t="s">
        <v>25</v>
      </c>
      <c r="H672" s="1" t="s">
        <v>68</v>
      </c>
      <c r="I672" s="1" t="s">
        <v>111</v>
      </c>
      <c r="J672">
        <v>99925</v>
      </c>
      <c r="K672">
        <v>0</v>
      </c>
      <c r="L672">
        <v>0</v>
      </c>
      <c r="M672">
        <v>0</v>
      </c>
      <c r="N672">
        <v>3</v>
      </c>
      <c r="O672" s="1" t="s">
        <v>32</v>
      </c>
      <c r="P672">
        <v>3</v>
      </c>
      <c r="Q672">
        <v>0</v>
      </c>
      <c r="R672">
        <v>0</v>
      </c>
      <c r="S672">
        <v>0</v>
      </c>
      <c r="T672">
        <v>1</v>
      </c>
      <c r="U672">
        <f>IF(openpolis_patrimoni_trasparenti_anno_2014[[#This Row],[totale_730_dichiarante]]&lt;&gt;0,LOG10(openpolis_patrimoni_trasparenti_anno_2014[[#This Row],[totale_730_dichiarante]]), 0)</f>
        <v>4.9996741569321426</v>
      </c>
    </row>
    <row r="673" spans="1:21" x14ac:dyDescent="0.3">
      <c r="A673">
        <v>434820</v>
      </c>
      <c r="B673" s="1" t="s">
        <v>897</v>
      </c>
      <c r="C673" s="1" t="s">
        <v>1107</v>
      </c>
      <c r="D673" s="2">
        <v>23809</v>
      </c>
      <c r="E673" s="1" t="s">
        <v>49</v>
      </c>
      <c r="F673" s="1" t="s">
        <v>67</v>
      </c>
      <c r="G673" s="1" t="s">
        <v>53</v>
      </c>
      <c r="H673" s="1" t="s">
        <v>54</v>
      </c>
      <c r="I673" s="1" t="s">
        <v>94</v>
      </c>
      <c r="J673">
        <v>83802</v>
      </c>
      <c r="K673">
        <v>0</v>
      </c>
      <c r="L673">
        <v>0</v>
      </c>
      <c r="M673">
        <v>0</v>
      </c>
      <c r="N673">
        <v>3</v>
      </c>
      <c r="O673" s="1" t="s">
        <v>32</v>
      </c>
      <c r="P673">
        <v>1</v>
      </c>
      <c r="Q673">
        <v>2</v>
      </c>
      <c r="R673">
        <v>1</v>
      </c>
      <c r="S673">
        <v>0</v>
      </c>
      <c r="T673">
        <v>0</v>
      </c>
      <c r="U673">
        <f>IF(openpolis_patrimoni_trasparenti_anno_2014[[#This Row],[totale_730_dichiarante]]&lt;&gt;0,LOG10(openpolis_patrimoni_trasparenti_anno_2014[[#This Row],[totale_730_dichiarante]]), 0)</f>
        <v>4.9232543835300255</v>
      </c>
    </row>
    <row r="674" spans="1:21" x14ac:dyDescent="0.3">
      <c r="A674">
        <v>21695</v>
      </c>
      <c r="B674" s="1" t="s">
        <v>326</v>
      </c>
      <c r="C674" s="1" t="s">
        <v>1108</v>
      </c>
      <c r="D674" s="2">
        <v>24639</v>
      </c>
      <c r="E674" s="1" t="s">
        <v>41</v>
      </c>
      <c r="F674" s="1" t="s">
        <v>30</v>
      </c>
      <c r="G674" s="1" t="s">
        <v>24</v>
      </c>
      <c r="H674" s="1" t="s">
        <v>24</v>
      </c>
      <c r="I674" s="1" t="s">
        <v>115</v>
      </c>
      <c r="J674">
        <v>104885</v>
      </c>
      <c r="K674">
        <v>0</v>
      </c>
      <c r="L674">
        <v>0</v>
      </c>
      <c r="M674">
        <v>0</v>
      </c>
      <c r="N674">
        <v>3</v>
      </c>
      <c r="O674" s="1" t="s">
        <v>32</v>
      </c>
      <c r="P674">
        <v>2</v>
      </c>
      <c r="Q674">
        <v>0</v>
      </c>
      <c r="R674">
        <v>1</v>
      </c>
      <c r="S674">
        <v>1</v>
      </c>
      <c r="T674">
        <v>1</v>
      </c>
      <c r="U674">
        <f>IF(openpolis_patrimoni_trasparenti_anno_2014[[#This Row],[totale_730_dichiarante]]&lt;&gt;0,LOG10(openpolis_patrimoni_trasparenti_anno_2014[[#This Row],[totale_730_dichiarante]]), 0)</f>
        <v>5.0207133825402499</v>
      </c>
    </row>
    <row r="675" spans="1:21" x14ac:dyDescent="0.3">
      <c r="A675">
        <v>178776</v>
      </c>
      <c r="B675" s="1" t="s">
        <v>116</v>
      </c>
      <c r="C675" s="1" t="s">
        <v>1109</v>
      </c>
      <c r="D675" s="2">
        <v>28619</v>
      </c>
      <c r="E675" s="1" t="s">
        <v>41</v>
      </c>
      <c r="F675" s="1" t="s">
        <v>30</v>
      </c>
      <c r="G675" s="1" t="s">
        <v>24</v>
      </c>
      <c r="H675" s="1" t="s">
        <v>24</v>
      </c>
      <c r="I675" s="1" t="s">
        <v>360</v>
      </c>
      <c r="J675">
        <v>115040</v>
      </c>
      <c r="K675">
        <v>0</v>
      </c>
      <c r="L675">
        <v>0</v>
      </c>
      <c r="M675">
        <v>0</v>
      </c>
      <c r="N675">
        <v>3</v>
      </c>
      <c r="O675" s="1" t="s">
        <v>32</v>
      </c>
      <c r="P675">
        <v>1</v>
      </c>
      <c r="Q675">
        <v>3</v>
      </c>
      <c r="R675">
        <v>1</v>
      </c>
      <c r="S675">
        <v>0</v>
      </c>
      <c r="T675">
        <v>0</v>
      </c>
      <c r="U675">
        <f>IF(openpolis_patrimoni_trasparenti_anno_2014[[#This Row],[totale_730_dichiarante]]&lt;&gt;0,LOG10(openpolis_patrimoni_trasparenti_anno_2014[[#This Row],[totale_730_dichiarante]]), 0)</f>
        <v>5.0608488730388075</v>
      </c>
    </row>
    <row r="676" spans="1:21" x14ac:dyDescent="0.3">
      <c r="A676">
        <v>686395</v>
      </c>
      <c r="B676" s="1" t="s">
        <v>310</v>
      </c>
      <c r="C676" s="1" t="s">
        <v>1110</v>
      </c>
      <c r="D676" s="2">
        <v>22178</v>
      </c>
      <c r="E676" s="1" t="s">
        <v>49</v>
      </c>
      <c r="F676" s="1" t="s">
        <v>30</v>
      </c>
      <c r="G676" s="1" t="s">
        <v>25</v>
      </c>
      <c r="H676" s="1" t="s">
        <v>97</v>
      </c>
      <c r="I676" s="1" t="s">
        <v>72</v>
      </c>
      <c r="J676">
        <v>85454</v>
      </c>
      <c r="K676">
        <v>10439</v>
      </c>
      <c r="L676">
        <v>0</v>
      </c>
      <c r="M676">
        <v>0</v>
      </c>
      <c r="N676">
        <v>3</v>
      </c>
      <c r="O676" s="1" t="s">
        <v>32</v>
      </c>
      <c r="P676">
        <v>1</v>
      </c>
      <c r="Q676">
        <v>0</v>
      </c>
      <c r="R676">
        <v>2</v>
      </c>
      <c r="S676">
        <v>0</v>
      </c>
      <c r="T676">
        <v>0</v>
      </c>
      <c r="U676">
        <f>IF(openpolis_patrimoni_trasparenti_anno_2014[[#This Row],[totale_730_dichiarante]]&lt;&gt;0,LOG10(openpolis_patrimoni_trasparenti_anno_2014[[#This Row],[totale_730_dichiarante]]), 0)</f>
        <v>4.9317323963401885</v>
      </c>
    </row>
    <row r="677" spans="1:21" x14ac:dyDescent="0.3">
      <c r="A677">
        <v>183561</v>
      </c>
      <c r="B677" s="1" t="s">
        <v>179</v>
      </c>
      <c r="C677" s="1" t="s">
        <v>960</v>
      </c>
      <c r="D677" s="2">
        <v>24432</v>
      </c>
      <c r="E677" s="1" t="s">
        <v>249</v>
      </c>
      <c r="F677" s="1" t="s">
        <v>30</v>
      </c>
      <c r="G677" s="1" t="s">
        <v>24</v>
      </c>
      <c r="H677" s="1" t="s">
        <v>24</v>
      </c>
      <c r="I677" s="1" t="s">
        <v>118</v>
      </c>
      <c r="J677">
        <v>91628</v>
      </c>
      <c r="K677">
        <v>0</v>
      </c>
      <c r="L677">
        <v>0</v>
      </c>
      <c r="M677">
        <v>0</v>
      </c>
      <c r="N677">
        <v>3</v>
      </c>
      <c r="O677" s="1" t="s">
        <v>32</v>
      </c>
      <c r="P677">
        <v>1</v>
      </c>
      <c r="Q677">
        <v>0</v>
      </c>
      <c r="R677">
        <v>0</v>
      </c>
      <c r="S677">
        <v>3</v>
      </c>
      <c r="T677">
        <v>1</v>
      </c>
      <c r="U677">
        <f>IF(openpolis_patrimoni_trasparenti_anno_2014[[#This Row],[totale_730_dichiarante]]&lt;&gt;0,LOG10(openpolis_patrimoni_trasparenti_anno_2014[[#This Row],[totale_730_dichiarante]]), 0)</f>
        <v>4.9620282071538675</v>
      </c>
    </row>
    <row r="678" spans="1:21" x14ac:dyDescent="0.3">
      <c r="A678">
        <v>249123</v>
      </c>
      <c r="B678" s="1" t="s">
        <v>415</v>
      </c>
      <c r="C678" s="1" t="s">
        <v>1111</v>
      </c>
      <c r="D678" s="2">
        <v>22291</v>
      </c>
      <c r="E678" s="1" t="s">
        <v>29</v>
      </c>
      <c r="F678" s="1" t="s">
        <v>67</v>
      </c>
      <c r="G678" s="1" t="s">
        <v>24</v>
      </c>
      <c r="H678" s="1" t="s">
        <v>24</v>
      </c>
      <c r="I678" s="1" t="s">
        <v>31</v>
      </c>
      <c r="J678">
        <v>92976</v>
      </c>
      <c r="K678">
        <v>31603</v>
      </c>
      <c r="L678">
        <v>0</v>
      </c>
      <c r="M678">
        <v>0</v>
      </c>
      <c r="N678">
        <v>3</v>
      </c>
      <c r="O678" s="1" t="s">
        <v>32</v>
      </c>
      <c r="P678">
        <v>2</v>
      </c>
      <c r="Q678">
        <v>0</v>
      </c>
      <c r="R678">
        <v>2</v>
      </c>
      <c r="S678">
        <v>0</v>
      </c>
      <c r="T678">
        <v>0</v>
      </c>
      <c r="U678">
        <f>IF(openpolis_patrimoni_trasparenti_anno_2014[[#This Row],[totale_730_dichiarante]]&lt;&gt;0,LOG10(openpolis_patrimoni_trasparenti_anno_2014[[#This Row],[totale_730_dichiarante]]), 0)</f>
        <v>4.9683708580946977</v>
      </c>
    </row>
    <row r="679" spans="1:21" x14ac:dyDescent="0.3">
      <c r="A679">
        <v>687012</v>
      </c>
      <c r="B679" s="1" t="s">
        <v>1112</v>
      </c>
      <c r="C679" s="1" t="s">
        <v>1113</v>
      </c>
      <c r="D679" s="2">
        <v>22810</v>
      </c>
      <c r="E679" s="1" t="s">
        <v>29</v>
      </c>
      <c r="F679" s="1" t="s">
        <v>67</v>
      </c>
      <c r="G679" s="1" t="s">
        <v>102</v>
      </c>
      <c r="H679" s="1" t="s">
        <v>168</v>
      </c>
      <c r="I679" s="1" t="s">
        <v>291</v>
      </c>
      <c r="J679">
        <v>86968</v>
      </c>
      <c r="K679">
        <v>0</v>
      </c>
      <c r="L679">
        <v>0</v>
      </c>
      <c r="M679">
        <v>0</v>
      </c>
      <c r="N679">
        <v>3</v>
      </c>
      <c r="O679" s="1" t="s">
        <v>32</v>
      </c>
      <c r="P679">
        <v>1</v>
      </c>
      <c r="Q679">
        <v>0</v>
      </c>
      <c r="R679">
        <v>1</v>
      </c>
      <c r="S679">
        <v>0</v>
      </c>
      <c r="T679">
        <v>2</v>
      </c>
      <c r="U679">
        <f>IF(openpolis_patrimoni_trasparenti_anno_2014[[#This Row],[totale_730_dichiarante]]&lt;&gt;0,LOG10(openpolis_patrimoni_trasparenti_anno_2014[[#This Row],[totale_730_dichiarante]]), 0)</f>
        <v>4.9393594827347593</v>
      </c>
    </row>
    <row r="680" spans="1:21" x14ac:dyDescent="0.3">
      <c r="A680">
        <v>128480</v>
      </c>
      <c r="B680" s="1" t="s">
        <v>1114</v>
      </c>
      <c r="C680" s="1" t="s">
        <v>462</v>
      </c>
      <c r="D680" s="2">
        <v>17906</v>
      </c>
      <c r="E680" s="1" t="s">
        <v>29</v>
      </c>
      <c r="F680" s="1" t="s">
        <v>67</v>
      </c>
      <c r="G680" s="1" t="s">
        <v>36</v>
      </c>
      <c r="H680" s="1" t="s">
        <v>298</v>
      </c>
      <c r="I680" s="1" t="s">
        <v>286</v>
      </c>
      <c r="J680">
        <v>105777</v>
      </c>
      <c r="K680">
        <v>0</v>
      </c>
      <c r="L680">
        <v>0</v>
      </c>
      <c r="M680">
        <v>0</v>
      </c>
      <c r="N680">
        <v>3</v>
      </c>
      <c r="O680" s="1" t="s">
        <v>32</v>
      </c>
      <c r="P680">
        <v>2</v>
      </c>
      <c r="Q680">
        <v>0</v>
      </c>
      <c r="R680">
        <v>2</v>
      </c>
      <c r="S680">
        <v>0</v>
      </c>
      <c r="T680">
        <v>0</v>
      </c>
      <c r="U680">
        <f>IF(openpolis_patrimoni_trasparenti_anno_2014[[#This Row],[totale_730_dichiarante]]&lt;&gt;0,LOG10(openpolis_patrimoni_trasparenti_anno_2014[[#This Row],[totale_730_dichiarante]]), 0)</f>
        <v>5.0243912455916302</v>
      </c>
    </row>
    <row r="681" spans="1:21" x14ac:dyDescent="0.3">
      <c r="A681">
        <v>687068</v>
      </c>
      <c r="B681" s="1" t="s">
        <v>1115</v>
      </c>
      <c r="C681" s="1" t="s">
        <v>1116</v>
      </c>
      <c r="D681" s="2">
        <v>26084</v>
      </c>
      <c r="E681" s="1" t="s">
        <v>49</v>
      </c>
      <c r="F681" s="1" t="s">
        <v>67</v>
      </c>
      <c r="G681" s="1" t="s">
        <v>102</v>
      </c>
      <c r="H681" s="1" t="s">
        <v>102</v>
      </c>
      <c r="I681" s="1" t="s">
        <v>286</v>
      </c>
      <c r="J681">
        <v>81056</v>
      </c>
      <c r="K681">
        <v>0</v>
      </c>
      <c r="L681">
        <v>0</v>
      </c>
      <c r="M681">
        <v>0</v>
      </c>
      <c r="N681">
        <v>2</v>
      </c>
      <c r="O681" s="1" t="s">
        <v>43</v>
      </c>
      <c r="P681">
        <v>2</v>
      </c>
      <c r="Q681">
        <v>0</v>
      </c>
      <c r="R681">
        <v>1</v>
      </c>
      <c r="S681">
        <v>0</v>
      </c>
      <c r="T681">
        <v>0</v>
      </c>
      <c r="U681">
        <f>IF(openpolis_patrimoni_trasparenti_anno_2014[[#This Row],[totale_730_dichiarante]]&lt;&gt;0,LOG10(openpolis_patrimoni_trasparenti_anno_2014[[#This Row],[totale_730_dichiarante]]), 0)</f>
        <v>4.9087851681104535</v>
      </c>
    </row>
    <row r="682" spans="1:21" x14ac:dyDescent="0.3">
      <c r="A682">
        <v>340</v>
      </c>
      <c r="B682" s="1" t="s">
        <v>1117</v>
      </c>
      <c r="C682" s="1" t="s">
        <v>1118</v>
      </c>
      <c r="D682" s="2">
        <v>21222</v>
      </c>
      <c r="E682" s="1" t="s">
        <v>22</v>
      </c>
      <c r="F682" s="1" t="s">
        <v>67</v>
      </c>
      <c r="G682" s="1" t="s">
        <v>24</v>
      </c>
      <c r="H682" s="1" t="s">
        <v>24</v>
      </c>
      <c r="I682" s="1" t="s">
        <v>271</v>
      </c>
      <c r="J682">
        <v>123029</v>
      </c>
      <c r="K682">
        <v>0</v>
      </c>
      <c r="L682">
        <v>0</v>
      </c>
      <c r="M682">
        <v>0</v>
      </c>
      <c r="N682">
        <v>3</v>
      </c>
      <c r="O682" s="1" t="s">
        <v>32</v>
      </c>
      <c r="P682">
        <v>1</v>
      </c>
      <c r="Q682">
        <v>0</v>
      </c>
      <c r="R682">
        <v>1</v>
      </c>
      <c r="S682">
        <v>0</v>
      </c>
      <c r="T682">
        <v>0</v>
      </c>
      <c r="U682">
        <f>IF(openpolis_patrimoni_trasparenti_anno_2014[[#This Row],[totale_730_dichiarante]]&lt;&gt;0,LOG10(openpolis_patrimoni_trasparenti_anno_2014[[#This Row],[totale_730_dichiarante]]), 0)</f>
        <v>5.0900074940043272</v>
      </c>
    </row>
    <row r="683" spans="1:21" x14ac:dyDescent="0.3">
      <c r="A683">
        <v>1667</v>
      </c>
      <c r="B683" s="1" t="s">
        <v>1119</v>
      </c>
      <c r="C683" s="1" t="s">
        <v>822</v>
      </c>
      <c r="D683" s="2">
        <v>18325</v>
      </c>
      <c r="E683" s="1" t="s">
        <v>465</v>
      </c>
      <c r="F683" s="1" t="s">
        <v>67</v>
      </c>
      <c r="G683" s="1" t="s">
        <v>36</v>
      </c>
      <c r="H683" s="1" t="s">
        <v>37</v>
      </c>
      <c r="I683" s="1" t="s">
        <v>286</v>
      </c>
      <c r="J683">
        <v>248895</v>
      </c>
      <c r="K683">
        <v>0</v>
      </c>
      <c r="L683">
        <v>0</v>
      </c>
      <c r="M683">
        <v>0</v>
      </c>
      <c r="N683">
        <v>3</v>
      </c>
      <c r="O683" s="1" t="s">
        <v>32</v>
      </c>
      <c r="P683">
        <v>1</v>
      </c>
      <c r="Q683">
        <v>0</v>
      </c>
      <c r="R683">
        <v>1</v>
      </c>
      <c r="S683">
        <v>0</v>
      </c>
      <c r="T683">
        <v>0</v>
      </c>
      <c r="U683">
        <f>IF(openpolis_patrimoni_trasparenti_anno_2014[[#This Row],[totale_730_dichiarante]]&lt;&gt;0,LOG10(openpolis_patrimoni_trasparenti_anno_2014[[#This Row],[totale_730_dichiarante]]), 0)</f>
        <v>5.3960161722445097</v>
      </c>
    </row>
    <row r="684" spans="1:21" x14ac:dyDescent="0.3">
      <c r="A684">
        <v>769</v>
      </c>
      <c r="B684" s="1" t="s">
        <v>978</v>
      </c>
      <c r="C684" s="1" t="s">
        <v>1120</v>
      </c>
      <c r="D684" s="2">
        <v>24594</v>
      </c>
      <c r="E684" s="1" t="s">
        <v>136</v>
      </c>
      <c r="F684" s="1" t="s">
        <v>176</v>
      </c>
      <c r="G684" s="1" t="s">
        <v>177</v>
      </c>
      <c r="H684" s="1" t="s">
        <v>25</v>
      </c>
      <c r="I684" s="1" t="s">
        <v>46</v>
      </c>
      <c r="J684">
        <v>91189</v>
      </c>
      <c r="K684">
        <v>0</v>
      </c>
      <c r="L684">
        <v>0</v>
      </c>
      <c r="M684">
        <v>0</v>
      </c>
      <c r="N684">
        <v>3</v>
      </c>
      <c r="O684" s="1" t="s">
        <v>32</v>
      </c>
      <c r="P684">
        <v>1</v>
      </c>
      <c r="Q684">
        <v>0</v>
      </c>
      <c r="R684">
        <v>1</v>
      </c>
      <c r="S684">
        <v>0</v>
      </c>
      <c r="T684">
        <v>0</v>
      </c>
      <c r="U684">
        <f>IF(openpolis_patrimoni_trasparenti_anno_2014[[#This Row],[totale_730_dichiarante]]&lt;&gt;0,LOG10(openpolis_patrimoni_trasparenti_anno_2014[[#This Row],[totale_730_dichiarante]]), 0)</f>
        <v>4.9599424531592806</v>
      </c>
    </row>
    <row r="685" spans="1:21" x14ac:dyDescent="0.3">
      <c r="A685">
        <v>68256</v>
      </c>
      <c r="B685" s="1" t="s">
        <v>51</v>
      </c>
      <c r="C685" s="1" t="s">
        <v>1121</v>
      </c>
      <c r="D685" s="2">
        <v>27191</v>
      </c>
      <c r="E685" s="1" t="s">
        <v>63</v>
      </c>
      <c r="F685" s="1" t="s">
        <v>30</v>
      </c>
      <c r="G685" s="1" t="s">
        <v>36</v>
      </c>
      <c r="H685" s="1" t="s">
        <v>54</v>
      </c>
      <c r="I685" s="1" t="s">
        <v>115</v>
      </c>
      <c r="J685">
        <v>91497</v>
      </c>
      <c r="K685">
        <v>0</v>
      </c>
      <c r="L685">
        <v>0</v>
      </c>
      <c r="M685">
        <v>0</v>
      </c>
      <c r="N685">
        <v>3</v>
      </c>
      <c r="O685" s="1" t="s">
        <v>32</v>
      </c>
      <c r="P685">
        <v>3</v>
      </c>
      <c r="Q685">
        <v>0</v>
      </c>
      <c r="R685">
        <v>0</v>
      </c>
      <c r="S685">
        <v>1</v>
      </c>
      <c r="T685">
        <v>0</v>
      </c>
      <c r="U685">
        <f>IF(openpolis_patrimoni_trasparenti_anno_2014[[#This Row],[totale_730_dichiarante]]&lt;&gt;0,LOG10(openpolis_patrimoni_trasparenti_anno_2014[[#This Row],[totale_730_dichiarante]]), 0)</f>
        <v>4.961406854669673</v>
      </c>
    </row>
    <row r="686" spans="1:21" x14ac:dyDescent="0.3">
      <c r="A686">
        <v>332742</v>
      </c>
      <c r="B686" s="1" t="s">
        <v>1122</v>
      </c>
      <c r="C686" s="1" t="s">
        <v>889</v>
      </c>
      <c r="D686" s="2">
        <v>23248</v>
      </c>
      <c r="E686" s="1" t="s">
        <v>156</v>
      </c>
      <c r="F686" s="1" t="s">
        <v>30</v>
      </c>
      <c r="G686" s="1" t="s">
        <v>24</v>
      </c>
      <c r="H686" s="1" t="s">
        <v>24</v>
      </c>
      <c r="I686" s="1" t="s">
        <v>159</v>
      </c>
      <c r="J686">
        <v>101382</v>
      </c>
      <c r="K686">
        <v>0</v>
      </c>
      <c r="L686">
        <v>0</v>
      </c>
      <c r="M686">
        <v>0</v>
      </c>
      <c r="N686">
        <v>3</v>
      </c>
      <c r="O686" s="1" t="s">
        <v>32</v>
      </c>
      <c r="P686">
        <v>3</v>
      </c>
      <c r="Q686">
        <v>0</v>
      </c>
      <c r="R686">
        <v>1</v>
      </c>
      <c r="S686">
        <v>0</v>
      </c>
      <c r="T686">
        <v>0</v>
      </c>
      <c r="U686">
        <f>IF(openpolis_patrimoni_trasparenti_anno_2014[[#This Row],[totale_730_dichiarante]]&lt;&gt;0,LOG10(openpolis_patrimoni_trasparenti_anno_2014[[#This Row],[totale_730_dichiarante]]), 0)</f>
        <v>5.0059608544588592</v>
      </c>
    </row>
    <row r="687" spans="1:21" x14ac:dyDescent="0.3">
      <c r="A687">
        <v>686960</v>
      </c>
      <c r="B687" s="1" t="s">
        <v>192</v>
      </c>
      <c r="C687" s="1" t="s">
        <v>445</v>
      </c>
      <c r="D687" s="2">
        <v>17298</v>
      </c>
      <c r="E687" s="1" t="s">
        <v>35</v>
      </c>
      <c r="F687" s="1" t="s">
        <v>67</v>
      </c>
      <c r="G687" s="1" t="s">
        <v>25</v>
      </c>
      <c r="H687" s="1" t="s">
        <v>168</v>
      </c>
      <c r="I687" s="1" t="s">
        <v>111</v>
      </c>
      <c r="J687">
        <v>0</v>
      </c>
      <c r="K687">
        <v>0</v>
      </c>
      <c r="L687">
        <v>0</v>
      </c>
      <c r="M687">
        <v>0</v>
      </c>
      <c r="N687">
        <v>3</v>
      </c>
      <c r="O687" s="1" t="s">
        <v>1123</v>
      </c>
      <c r="P687">
        <v>0</v>
      </c>
      <c r="Q687">
        <v>0</v>
      </c>
      <c r="R687">
        <v>0</v>
      </c>
      <c r="S687">
        <v>0</v>
      </c>
      <c r="T687">
        <v>0</v>
      </c>
      <c r="U687">
        <f>IF(openpolis_patrimoni_trasparenti_anno_2014[[#This Row],[totale_730_dichiarante]]&lt;&gt;0,LOG10(openpolis_patrimoni_trasparenti_anno_2014[[#This Row],[totale_730_dichiarante]]), 0)</f>
        <v>0</v>
      </c>
    </row>
    <row r="688" spans="1:21" x14ac:dyDescent="0.3">
      <c r="A688">
        <v>689248</v>
      </c>
      <c r="B688" s="1" t="s">
        <v>107</v>
      </c>
      <c r="C688" s="1" t="s">
        <v>1124</v>
      </c>
      <c r="D688" s="2">
        <v>20311</v>
      </c>
      <c r="E688" s="1" t="s">
        <v>465</v>
      </c>
      <c r="F688" s="1" t="s">
        <v>23</v>
      </c>
      <c r="G688" s="1" t="s">
        <v>252</v>
      </c>
      <c r="H688" s="1" t="s">
        <v>25</v>
      </c>
      <c r="I688" s="1" t="s">
        <v>25</v>
      </c>
      <c r="J688">
        <v>141297</v>
      </c>
      <c r="K688">
        <v>23541</v>
      </c>
      <c r="L688">
        <v>0</v>
      </c>
      <c r="M688">
        <v>0</v>
      </c>
      <c r="N688">
        <v>1</v>
      </c>
      <c r="O688" s="1" t="s">
        <v>119</v>
      </c>
      <c r="P688">
        <v>1</v>
      </c>
      <c r="Q688">
        <v>0</v>
      </c>
      <c r="R688">
        <v>1</v>
      </c>
      <c r="S688">
        <v>0</v>
      </c>
      <c r="T688">
        <v>0</v>
      </c>
      <c r="U688">
        <f>IF(openpolis_patrimoni_trasparenti_anno_2014[[#This Row],[totale_730_dichiarante]]&lt;&gt;0,LOG10(openpolis_patrimoni_trasparenti_anno_2014[[#This Row],[totale_730_dichiarante]]), 0)</f>
        <v>5.1501329410610364</v>
      </c>
    </row>
    <row r="689" spans="1:21" x14ac:dyDescent="0.3">
      <c r="A689">
        <v>388</v>
      </c>
      <c r="B689" s="1" t="s">
        <v>230</v>
      </c>
      <c r="C689" s="1" t="s">
        <v>873</v>
      </c>
      <c r="D689" s="2">
        <v>23643</v>
      </c>
      <c r="E689" s="1" t="s">
        <v>63</v>
      </c>
      <c r="F689" s="1" t="s">
        <v>30</v>
      </c>
      <c r="G689" s="1" t="s">
        <v>126</v>
      </c>
      <c r="H689" s="1" t="s">
        <v>127</v>
      </c>
      <c r="I689" s="1" t="s">
        <v>64</v>
      </c>
      <c r="J689">
        <v>85113</v>
      </c>
      <c r="K689">
        <v>0</v>
      </c>
      <c r="L689">
        <v>0</v>
      </c>
      <c r="M689">
        <v>0</v>
      </c>
      <c r="N689">
        <v>3</v>
      </c>
      <c r="O689" s="1" t="s">
        <v>32</v>
      </c>
      <c r="P689">
        <v>2</v>
      </c>
      <c r="Q689">
        <v>0</v>
      </c>
      <c r="R689">
        <v>1</v>
      </c>
      <c r="S689">
        <v>0</v>
      </c>
      <c r="T689">
        <v>1</v>
      </c>
      <c r="U689">
        <f>IF(openpolis_patrimoni_trasparenti_anno_2014[[#This Row],[totale_730_dichiarante]]&lt;&gt;0,LOG10(openpolis_patrimoni_trasparenti_anno_2014[[#This Row],[totale_730_dichiarante]]), 0)</f>
        <v>4.929995898475612</v>
      </c>
    </row>
    <row r="690" spans="1:21" x14ac:dyDescent="0.3">
      <c r="A690">
        <v>602</v>
      </c>
      <c r="B690" s="1" t="s">
        <v>1125</v>
      </c>
      <c r="C690" s="1" t="s">
        <v>1126</v>
      </c>
      <c r="D690" s="2">
        <v>19980</v>
      </c>
      <c r="E690" s="1" t="s">
        <v>22</v>
      </c>
      <c r="F690" s="1" t="s">
        <v>30</v>
      </c>
      <c r="G690" s="1" t="s">
        <v>126</v>
      </c>
      <c r="H690" s="1" t="s">
        <v>127</v>
      </c>
      <c r="I690" s="1" t="s">
        <v>46</v>
      </c>
      <c r="J690">
        <v>78230</v>
      </c>
      <c r="K690">
        <v>0</v>
      </c>
      <c r="L690">
        <v>0</v>
      </c>
      <c r="M690">
        <v>0</v>
      </c>
      <c r="N690">
        <v>3</v>
      </c>
      <c r="O690" s="1" t="s">
        <v>32</v>
      </c>
      <c r="P690">
        <v>2</v>
      </c>
      <c r="Q690">
        <v>0</v>
      </c>
      <c r="R690">
        <v>1</v>
      </c>
      <c r="S690">
        <v>0</v>
      </c>
      <c r="T690">
        <v>0</v>
      </c>
      <c r="U690">
        <f>IF(openpolis_patrimoni_trasparenti_anno_2014[[#This Row],[totale_730_dichiarante]]&lt;&gt;0,LOG10(openpolis_patrimoni_trasparenti_anno_2014[[#This Row],[totale_730_dichiarante]]), 0)</f>
        <v>4.8933733302460247</v>
      </c>
    </row>
    <row r="691" spans="1:21" x14ac:dyDescent="0.3">
      <c r="A691">
        <v>687428</v>
      </c>
      <c r="B691" s="1" t="s">
        <v>1127</v>
      </c>
      <c r="C691" s="1" t="s">
        <v>1128</v>
      </c>
      <c r="D691" s="2">
        <v>30274</v>
      </c>
      <c r="E691" s="1" t="s">
        <v>22</v>
      </c>
      <c r="F691" s="1" t="s">
        <v>30</v>
      </c>
      <c r="G691" s="1" t="s">
        <v>126</v>
      </c>
      <c r="H691" s="1" t="s">
        <v>127</v>
      </c>
      <c r="I691" s="1" t="s">
        <v>169</v>
      </c>
      <c r="J691">
        <v>78230</v>
      </c>
      <c r="K691">
        <v>0</v>
      </c>
      <c r="L691">
        <v>0</v>
      </c>
      <c r="M691">
        <v>0</v>
      </c>
      <c r="N691">
        <v>3</v>
      </c>
      <c r="O691" s="1" t="s">
        <v>32</v>
      </c>
      <c r="P691">
        <v>2</v>
      </c>
      <c r="Q691">
        <v>0</v>
      </c>
      <c r="R691">
        <v>1</v>
      </c>
      <c r="S691">
        <v>0</v>
      </c>
      <c r="T691">
        <v>0</v>
      </c>
      <c r="U691">
        <f>IF(openpolis_patrimoni_trasparenti_anno_2014[[#This Row],[totale_730_dichiarante]]&lt;&gt;0,LOG10(openpolis_patrimoni_trasparenti_anno_2014[[#This Row],[totale_730_dichiarante]]), 0)</f>
        <v>4.8933733302460247</v>
      </c>
    </row>
    <row r="692" spans="1:21" x14ac:dyDescent="0.3">
      <c r="A692">
        <v>332703</v>
      </c>
      <c r="B692" s="1" t="s">
        <v>99</v>
      </c>
      <c r="C692" s="1" t="s">
        <v>1129</v>
      </c>
      <c r="D692" s="2">
        <v>25857</v>
      </c>
      <c r="E692" s="1" t="s">
        <v>35</v>
      </c>
      <c r="F692" s="1" t="s">
        <v>30</v>
      </c>
      <c r="G692" s="1" t="s">
        <v>24</v>
      </c>
      <c r="H692" s="1" t="s">
        <v>24</v>
      </c>
      <c r="I692" s="1" t="s">
        <v>118</v>
      </c>
      <c r="J692">
        <v>375243</v>
      </c>
      <c r="K692">
        <v>10186</v>
      </c>
      <c r="L692">
        <v>0</v>
      </c>
      <c r="M692">
        <v>0</v>
      </c>
      <c r="N692">
        <v>3</v>
      </c>
      <c r="O692" s="1" t="s">
        <v>32</v>
      </c>
      <c r="P692">
        <v>0</v>
      </c>
      <c r="Q692">
        <v>0</v>
      </c>
      <c r="R692">
        <v>1</v>
      </c>
      <c r="S692">
        <v>2</v>
      </c>
      <c r="T692">
        <v>5</v>
      </c>
      <c r="U692">
        <f>IF(openpolis_patrimoni_trasparenti_anno_2014[[#This Row],[totale_730_dichiarante]]&lt;&gt;0,LOG10(openpolis_patrimoni_trasparenti_anno_2014[[#This Row],[totale_730_dichiarante]]), 0)</f>
        <v>5.5743125994103684</v>
      </c>
    </row>
    <row r="693" spans="1:21" x14ac:dyDescent="0.3">
      <c r="A693">
        <v>321</v>
      </c>
      <c r="B693" s="1" t="s">
        <v>389</v>
      </c>
      <c r="C693" s="1" t="s">
        <v>1130</v>
      </c>
      <c r="D693" s="2">
        <v>25536</v>
      </c>
      <c r="E693" s="1" t="s">
        <v>41</v>
      </c>
      <c r="F693" s="1" t="s">
        <v>176</v>
      </c>
      <c r="G693" s="1" t="s">
        <v>263</v>
      </c>
      <c r="H693" s="1" t="s">
        <v>25</v>
      </c>
      <c r="I693" s="1" t="s">
        <v>194</v>
      </c>
      <c r="J693">
        <v>114107</v>
      </c>
      <c r="K693">
        <v>0</v>
      </c>
      <c r="L693">
        <v>0</v>
      </c>
      <c r="M693">
        <v>0</v>
      </c>
      <c r="N693">
        <v>2</v>
      </c>
      <c r="O693" s="1" t="s">
        <v>195</v>
      </c>
      <c r="P693">
        <v>1</v>
      </c>
      <c r="Q693">
        <v>0</v>
      </c>
      <c r="R693">
        <v>2</v>
      </c>
      <c r="S693">
        <v>1</v>
      </c>
      <c r="T693">
        <v>0</v>
      </c>
      <c r="U693">
        <f>IF(openpolis_patrimoni_trasparenti_anno_2014[[#This Row],[totale_730_dichiarante]]&lt;&gt;0,LOG10(openpolis_patrimoni_trasparenti_anno_2014[[#This Row],[totale_730_dichiarante]]), 0)</f>
        <v>5.0573122874341978</v>
      </c>
    </row>
    <row r="694" spans="1:21" x14ac:dyDescent="0.3">
      <c r="A694">
        <v>219951</v>
      </c>
      <c r="B694" s="1" t="s">
        <v>145</v>
      </c>
      <c r="C694" s="1" t="s">
        <v>1131</v>
      </c>
      <c r="D694" s="2">
        <v>21403</v>
      </c>
      <c r="E694" s="1" t="s">
        <v>29</v>
      </c>
      <c r="F694" s="1" t="s">
        <v>30</v>
      </c>
      <c r="G694" s="1" t="s">
        <v>24</v>
      </c>
      <c r="H694" s="1" t="s">
        <v>24</v>
      </c>
      <c r="I694" s="1" t="s">
        <v>42</v>
      </c>
      <c r="J694">
        <v>88892</v>
      </c>
      <c r="K694">
        <v>0</v>
      </c>
      <c r="L694">
        <v>0</v>
      </c>
      <c r="M694">
        <v>0</v>
      </c>
      <c r="N694">
        <v>2</v>
      </c>
      <c r="O694" s="1" t="s">
        <v>43</v>
      </c>
      <c r="P694">
        <v>9</v>
      </c>
      <c r="Q694">
        <v>2</v>
      </c>
      <c r="R694">
        <v>3</v>
      </c>
      <c r="S694">
        <v>0</v>
      </c>
      <c r="T694">
        <v>0</v>
      </c>
      <c r="U694">
        <f>IF(openpolis_patrimoni_trasparenti_anno_2014[[#This Row],[totale_730_dichiarante]]&lt;&gt;0,LOG10(openpolis_patrimoni_trasparenti_anno_2014[[#This Row],[totale_730_dichiarante]]), 0)</f>
        <v>4.9488626775934863</v>
      </c>
    </row>
    <row r="695" spans="1:21" x14ac:dyDescent="0.3">
      <c r="A695">
        <v>686431</v>
      </c>
      <c r="B695" s="1" t="s">
        <v>265</v>
      </c>
      <c r="C695" s="1" t="s">
        <v>1132</v>
      </c>
      <c r="D695" s="2">
        <v>30732</v>
      </c>
      <c r="E695" s="1" t="s">
        <v>49</v>
      </c>
      <c r="F695" s="1" t="s">
        <v>30</v>
      </c>
      <c r="G695" s="1" t="s">
        <v>102</v>
      </c>
      <c r="H695" s="1" t="s">
        <v>102</v>
      </c>
      <c r="I695" s="1" t="s">
        <v>58</v>
      </c>
      <c r="J695">
        <v>85257</v>
      </c>
      <c r="K695">
        <v>0</v>
      </c>
      <c r="L695">
        <v>0</v>
      </c>
      <c r="M695">
        <v>0</v>
      </c>
      <c r="N695">
        <v>2</v>
      </c>
      <c r="O695" s="1" t="s">
        <v>43</v>
      </c>
      <c r="P695">
        <v>2</v>
      </c>
      <c r="Q695">
        <v>0</v>
      </c>
      <c r="R695">
        <v>0</v>
      </c>
      <c r="S695">
        <v>0</v>
      </c>
      <c r="T695">
        <v>0</v>
      </c>
      <c r="U695">
        <f>IF(openpolis_patrimoni_trasparenti_anno_2014[[#This Row],[totale_730_dichiarante]]&lt;&gt;0,LOG10(openpolis_patrimoni_trasparenti_anno_2014[[#This Row],[totale_730_dichiarante]]), 0)</f>
        <v>4.9307300467445145</v>
      </c>
    </row>
    <row r="696" spans="1:21" x14ac:dyDescent="0.3">
      <c r="A696">
        <v>4623</v>
      </c>
      <c r="B696" s="1" t="s">
        <v>265</v>
      </c>
      <c r="C696" s="1" t="s">
        <v>1133</v>
      </c>
      <c r="D696" s="2">
        <v>26555</v>
      </c>
      <c r="E696" s="1" t="s">
        <v>35</v>
      </c>
      <c r="F696" s="1" t="s">
        <v>30</v>
      </c>
      <c r="G696" s="1" t="s">
        <v>25</v>
      </c>
      <c r="H696" s="1" t="s">
        <v>168</v>
      </c>
      <c r="I696" s="1" t="s">
        <v>178</v>
      </c>
      <c r="J696">
        <v>97495</v>
      </c>
      <c r="K696">
        <v>16189</v>
      </c>
      <c r="L696">
        <v>0</v>
      </c>
      <c r="M696">
        <v>0</v>
      </c>
      <c r="N696">
        <v>3</v>
      </c>
      <c r="O696" s="1" t="s">
        <v>32</v>
      </c>
      <c r="P696">
        <v>2</v>
      </c>
      <c r="Q696">
        <v>0</v>
      </c>
      <c r="R696">
        <v>3</v>
      </c>
      <c r="S696">
        <v>2</v>
      </c>
      <c r="T696">
        <v>0</v>
      </c>
      <c r="U696">
        <f>IF(openpolis_patrimoni_trasparenti_anno_2014[[#This Row],[totale_730_dichiarante]]&lt;&gt;0,LOG10(openpolis_patrimoni_trasparenti_anno_2014[[#This Row],[totale_730_dichiarante]]), 0)</f>
        <v>4.98898234361556</v>
      </c>
    </row>
    <row r="697" spans="1:21" x14ac:dyDescent="0.3">
      <c r="A697">
        <v>276597</v>
      </c>
      <c r="B697" s="1" t="s">
        <v>346</v>
      </c>
      <c r="C697" s="1" t="s">
        <v>1134</v>
      </c>
      <c r="D697" s="2">
        <v>20743</v>
      </c>
      <c r="E697" s="1" t="s">
        <v>29</v>
      </c>
      <c r="F697" s="1" t="s">
        <v>30</v>
      </c>
      <c r="G697" s="1" t="s">
        <v>24</v>
      </c>
      <c r="H697" s="1" t="s">
        <v>24</v>
      </c>
      <c r="I697" s="1" t="s">
        <v>169</v>
      </c>
      <c r="J697">
        <v>133359</v>
      </c>
      <c r="K697">
        <v>0</v>
      </c>
      <c r="L697">
        <v>0</v>
      </c>
      <c r="M697">
        <v>0</v>
      </c>
      <c r="N697">
        <v>2</v>
      </c>
      <c r="O697" s="1" t="s">
        <v>43</v>
      </c>
      <c r="P697">
        <v>8</v>
      </c>
      <c r="Q697">
        <v>0</v>
      </c>
      <c r="R697">
        <v>2</v>
      </c>
      <c r="S697">
        <v>2</v>
      </c>
      <c r="T697">
        <v>0</v>
      </c>
      <c r="U697">
        <f>IF(openpolis_patrimoni_trasparenti_anno_2014[[#This Row],[totale_730_dichiarante]]&lt;&gt;0,LOG10(openpolis_patrimoni_trasparenti_anno_2014[[#This Row],[totale_730_dichiarante]]), 0)</f>
        <v>5.1250223302504363</v>
      </c>
    </row>
    <row r="698" spans="1:21" x14ac:dyDescent="0.3">
      <c r="A698">
        <v>686387</v>
      </c>
      <c r="B698" s="1" t="s">
        <v>1043</v>
      </c>
      <c r="C698" s="1" t="s">
        <v>1135</v>
      </c>
      <c r="D698" s="2">
        <v>31702</v>
      </c>
      <c r="E698" s="1" t="s">
        <v>49</v>
      </c>
      <c r="F698" s="1" t="s">
        <v>30</v>
      </c>
      <c r="G698" s="1" t="s">
        <v>102</v>
      </c>
      <c r="H698" s="1" t="s">
        <v>68</v>
      </c>
      <c r="I698" s="1" t="s">
        <v>72</v>
      </c>
      <c r="J698">
        <v>81787</v>
      </c>
      <c r="K698">
        <v>0</v>
      </c>
      <c r="L698">
        <v>0</v>
      </c>
      <c r="M698">
        <v>0</v>
      </c>
      <c r="N698">
        <v>3</v>
      </c>
      <c r="O698" s="1" t="s">
        <v>32</v>
      </c>
      <c r="P698">
        <v>1</v>
      </c>
      <c r="Q698">
        <v>0</v>
      </c>
      <c r="R698">
        <v>1</v>
      </c>
      <c r="S698">
        <v>0</v>
      </c>
      <c r="T698">
        <v>0</v>
      </c>
      <c r="U698">
        <f>IF(openpolis_patrimoni_trasparenti_anno_2014[[#This Row],[totale_730_dichiarante]]&lt;&gt;0,LOG10(openpolis_patrimoni_trasparenti_anno_2014[[#This Row],[totale_730_dichiarante]]), 0)</f>
        <v>4.912684278280838</v>
      </c>
    </row>
    <row r="699" spans="1:21" x14ac:dyDescent="0.3">
      <c r="A699">
        <v>618125</v>
      </c>
      <c r="B699" s="1" t="s">
        <v>310</v>
      </c>
      <c r="C699" s="1" t="s">
        <v>1136</v>
      </c>
      <c r="D699" s="2">
        <v>19058</v>
      </c>
      <c r="E699" s="1" t="s">
        <v>136</v>
      </c>
      <c r="F699" s="1" t="s">
        <v>30</v>
      </c>
      <c r="G699" s="1" t="s">
        <v>167</v>
      </c>
      <c r="H699" s="1" t="s">
        <v>68</v>
      </c>
      <c r="I699" s="1" t="s">
        <v>55</v>
      </c>
      <c r="J699">
        <v>244211</v>
      </c>
      <c r="K699">
        <v>0</v>
      </c>
      <c r="L699">
        <v>0</v>
      </c>
      <c r="M699">
        <v>0</v>
      </c>
      <c r="N699">
        <v>3</v>
      </c>
      <c r="O699" s="1" t="s">
        <v>32</v>
      </c>
      <c r="P699">
        <v>8</v>
      </c>
      <c r="Q699">
        <v>1</v>
      </c>
      <c r="R699">
        <v>1</v>
      </c>
      <c r="S699">
        <v>0</v>
      </c>
      <c r="T699">
        <v>0</v>
      </c>
      <c r="U699">
        <f>IF(openpolis_patrimoni_trasparenti_anno_2014[[#This Row],[totale_730_dichiarante]]&lt;&gt;0,LOG10(openpolis_patrimoni_trasparenti_anno_2014[[#This Row],[totale_730_dichiarante]]), 0)</f>
        <v>5.3877652219827734</v>
      </c>
    </row>
    <row r="700" spans="1:21" x14ac:dyDescent="0.3">
      <c r="A700">
        <v>282</v>
      </c>
      <c r="B700" s="1" t="s">
        <v>437</v>
      </c>
      <c r="C700" s="1" t="s">
        <v>1137</v>
      </c>
      <c r="D700" s="2">
        <v>25963</v>
      </c>
      <c r="E700" s="1" t="s">
        <v>156</v>
      </c>
      <c r="F700" s="1" t="s">
        <v>30</v>
      </c>
      <c r="G700" s="1" t="s">
        <v>36</v>
      </c>
      <c r="H700" s="1" t="s">
        <v>37</v>
      </c>
      <c r="I700" s="1" t="s">
        <v>264</v>
      </c>
      <c r="J700">
        <v>99452</v>
      </c>
      <c r="K700">
        <v>0</v>
      </c>
      <c r="L700">
        <v>0</v>
      </c>
      <c r="M700">
        <v>0</v>
      </c>
      <c r="N700">
        <v>3</v>
      </c>
      <c r="O700" s="1" t="s">
        <v>32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f>IF(openpolis_patrimoni_trasparenti_anno_2014[[#This Row],[totale_730_dichiarante]]&lt;&gt;0,LOG10(openpolis_patrimoni_trasparenti_anno_2014[[#This Row],[totale_730_dichiarante]]), 0)</f>
        <v>4.9976135212988657</v>
      </c>
    </row>
    <row r="701" spans="1:21" x14ac:dyDescent="0.3">
      <c r="A701">
        <v>685925</v>
      </c>
      <c r="B701" s="1" t="s">
        <v>141</v>
      </c>
      <c r="C701" s="1" t="s">
        <v>1138</v>
      </c>
      <c r="D701" s="2">
        <v>31669</v>
      </c>
      <c r="E701" s="1" t="s">
        <v>49</v>
      </c>
      <c r="F701" s="1" t="s">
        <v>30</v>
      </c>
      <c r="G701" s="1" t="s">
        <v>102</v>
      </c>
      <c r="H701" s="1" t="s">
        <v>102</v>
      </c>
      <c r="I701" s="1" t="s">
        <v>200</v>
      </c>
      <c r="J701">
        <v>78229.8</v>
      </c>
      <c r="K701">
        <v>0</v>
      </c>
      <c r="L701">
        <v>0</v>
      </c>
      <c r="M701">
        <v>0</v>
      </c>
      <c r="N701">
        <v>3</v>
      </c>
      <c r="O701" s="1" t="s">
        <v>32</v>
      </c>
      <c r="P701">
        <v>1</v>
      </c>
      <c r="Q701">
        <v>0</v>
      </c>
      <c r="R701">
        <v>0</v>
      </c>
      <c r="S701">
        <v>0</v>
      </c>
      <c r="T701">
        <v>0</v>
      </c>
      <c r="U701">
        <f>IF(openpolis_patrimoni_trasparenti_anno_2014[[#This Row],[totale_730_dichiarante]]&lt;&gt;0,LOG10(openpolis_patrimoni_trasparenti_anno_2014[[#This Row],[totale_730_dichiarante]]), 0)</f>
        <v>4.893372219942977</v>
      </c>
    </row>
    <row r="702" spans="1:21" x14ac:dyDescent="0.3">
      <c r="A702">
        <v>686332</v>
      </c>
      <c r="B702" s="1" t="s">
        <v>355</v>
      </c>
      <c r="C702" s="1" t="s">
        <v>1139</v>
      </c>
      <c r="D702" s="2">
        <v>29463</v>
      </c>
      <c r="E702" s="1" t="s">
        <v>49</v>
      </c>
      <c r="F702" s="1" t="s">
        <v>30</v>
      </c>
      <c r="G702" s="1" t="s">
        <v>102</v>
      </c>
      <c r="H702" s="1" t="s">
        <v>102</v>
      </c>
      <c r="I702" s="1" t="s">
        <v>64</v>
      </c>
      <c r="J702">
        <v>83611</v>
      </c>
      <c r="K702">
        <v>0</v>
      </c>
      <c r="L702">
        <v>0</v>
      </c>
      <c r="M702">
        <v>0</v>
      </c>
      <c r="N702">
        <v>2</v>
      </c>
      <c r="O702" s="1" t="s">
        <v>43</v>
      </c>
      <c r="P702">
        <v>0</v>
      </c>
      <c r="Q702">
        <v>0</v>
      </c>
      <c r="R702">
        <v>1</v>
      </c>
      <c r="S702">
        <v>0</v>
      </c>
      <c r="T702">
        <v>0</v>
      </c>
      <c r="U702">
        <f>IF(openpolis_patrimoni_trasparenti_anno_2014[[#This Row],[totale_730_dichiarante]]&lt;&gt;0,LOG10(openpolis_patrimoni_trasparenti_anno_2014[[#This Row],[totale_730_dichiarante]]), 0)</f>
        <v>4.9222634176906483</v>
      </c>
    </row>
    <row r="703" spans="1:21" x14ac:dyDescent="0.3">
      <c r="A703">
        <v>277</v>
      </c>
      <c r="B703" s="1" t="s">
        <v>192</v>
      </c>
      <c r="C703" s="1" t="s">
        <v>1140</v>
      </c>
      <c r="D703" s="2">
        <v>21350</v>
      </c>
      <c r="E703" s="1" t="s">
        <v>249</v>
      </c>
      <c r="F703" s="1" t="s">
        <v>176</v>
      </c>
      <c r="G703" s="1" t="s">
        <v>263</v>
      </c>
      <c r="H703" s="1" t="s">
        <v>25</v>
      </c>
      <c r="I703" s="1" t="s">
        <v>64</v>
      </c>
      <c r="J703">
        <v>104123</v>
      </c>
      <c r="K703">
        <v>0</v>
      </c>
      <c r="L703">
        <v>0</v>
      </c>
      <c r="M703">
        <v>0</v>
      </c>
      <c r="N703">
        <v>2</v>
      </c>
      <c r="O703" s="1" t="s">
        <v>195</v>
      </c>
      <c r="P703">
        <v>4</v>
      </c>
      <c r="Q703">
        <v>0</v>
      </c>
      <c r="R703">
        <v>2</v>
      </c>
      <c r="S703">
        <v>4</v>
      </c>
      <c r="T703">
        <v>0</v>
      </c>
      <c r="U703">
        <f>IF(openpolis_patrimoni_trasparenti_anno_2014[[#This Row],[totale_730_dichiarante]]&lt;&gt;0,LOG10(openpolis_patrimoni_trasparenti_anno_2014[[#This Row],[totale_730_dichiarante]]), 0)</f>
        <v>5.0175466725439613</v>
      </c>
    </row>
    <row r="704" spans="1:21" x14ac:dyDescent="0.3">
      <c r="A704">
        <v>165773</v>
      </c>
      <c r="B704" s="1" t="s">
        <v>1141</v>
      </c>
      <c r="C704" s="1" t="s">
        <v>1142</v>
      </c>
      <c r="D704" s="2">
        <v>20462</v>
      </c>
      <c r="E704" s="1" t="s">
        <v>29</v>
      </c>
      <c r="F704" s="1" t="s">
        <v>30</v>
      </c>
      <c r="G704" s="1" t="s">
        <v>24</v>
      </c>
      <c r="H704" s="1" t="s">
        <v>24</v>
      </c>
      <c r="I704" s="1" t="s">
        <v>178</v>
      </c>
      <c r="J704">
        <v>83732</v>
      </c>
      <c r="K704">
        <v>0</v>
      </c>
      <c r="L704">
        <v>0</v>
      </c>
      <c r="M704">
        <v>0</v>
      </c>
      <c r="N704">
        <v>3</v>
      </c>
      <c r="O704" s="1" t="s">
        <v>32</v>
      </c>
      <c r="P704">
        <v>0</v>
      </c>
      <c r="Q704">
        <v>0</v>
      </c>
      <c r="R704">
        <v>1</v>
      </c>
      <c r="S704">
        <v>0</v>
      </c>
      <c r="T704">
        <v>0</v>
      </c>
      <c r="U704">
        <f>IF(openpolis_patrimoni_trasparenti_anno_2014[[#This Row],[totale_730_dichiarante]]&lt;&gt;0,LOG10(openpolis_patrimoni_trasparenti_anno_2014[[#This Row],[totale_730_dichiarante]]), 0)</f>
        <v>4.9228914647732083</v>
      </c>
    </row>
    <row r="705" spans="1:21" x14ac:dyDescent="0.3">
      <c r="A705">
        <v>7545</v>
      </c>
      <c r="B705" s="1" t="s">
        <v>1143</v>
      </c>
      <c r="C705" s="1" t="s">
        <v>1144</v>
      </c>
      <c r="D705" s="2">
        <v>20479</v>
      </c>
      <c r="E705" s="1" t="s">
        <v>35</v>
      </c>
      <c r="F705" s="1" t="s">
        <v>30</v>
      </c>
      <c r="G705" s="1" t="s">
        <v>24</v>
      </c>
      <c r="H705" s="1" t="s">
        <v>24</v>
      </c>
      <c r="I705" s="1" t="s">
        <v>64</v>
      </c>
      <c r="J705">
        <v>103513</v>
      </c>
      <c r="K705">
        <v>0</v>
      </c>
      <c r="L705">
        <v>0</v>
      </c>
      <c r="M705">
        <v>0</v>
      </c>
      <c r="N705">
        <v>3</v>
      </c>
      <c r="O705" s="1" t="s">
        <v>32</v>
      </c>
      <c r="P705">
        <v>3</v>
      </c>
      <c r="Q705">
        <v>0</v>
      </c>
      <c r="R705">
        <v>1</v>
      </c>
      <c r="S705">
        <v>2</v>
      </c>
      <c r="T705">
        <v>2</v>
      </c>
      <c r="U705">
        <f>IF(openpolis_patrimoni_trasparenti_anno_2014[[#This Row],[totale_730_dichiarante]]&lt;&gt;0,LOG10(openpolis_patrimoni_trasparenti_anno_2014[[#This Row],[totale_730_dichiarante]]), 0)</f>
        <v>5.0149948954327961</v>
      </c>
    </row>
    <row r="706" spans="1:21" x14ac:dyDescent="0.3">
      <c r="A706">
        <v>332698</v>
      </c>
      <c r="B706" s="1" t="s">
        <v>346</v>
      </c>
      <c r="C706" s="1" t="s">
        <v>1145</v>
      </c>
      <c r="D706" s="2">
        <v>23947</v>
      </c>
      <c r="E706" s="1" t="s">
        <v>22</v>
      </c>
      <c r="F706" s="1" t="s">
        <v>30</v>
      </c>
      <c r="G706" s="1" t="s">
        <v>24</v>
      </c>
      <c r="H706" s="1" t="s">
        <v>24</v>
      </c>
      <c r="I706" s="1" t="s">
        <v>118</v>
      </c>
      <c r="J706">
        <v>98471</v>
      </c>
      <c r="K706">
        <v>0</v>
      </c>
      <c r="L706">
        <v>0</v>
      </c>
      <c r="M706">
        <v>0</v>
      </c>
      <c r="N706">
        <v>3</v>
      </c>
      <c r="O706" s="1" t="s">
        <v>32</v>
      </c>
      <c r="P706">
        <v>1</v>
      </c>
      <c r="Q706">
        <v>0</v>
      </c>
      <c r="R706">
        <v>2</v>
      </c>
      <c r="S706">
        <v>0</v>
      </c>
      <c r="T706">
        <v>0</v>
      </c>
      <c r="U706">
        <f>IF(openpolis_patrimoni_trasparenti_anno_2014[[#This Row],[totale_730_dichiarante]]&lt;&gt;0,LOG10(openpolis_patrimoni_trasparenti_anno_2014[[#This Row],[totale_730_dichiarante]]), 0)</f>
        <v>4.9933083483213911</v>
      </c>
    </row>
    <row r="707" spans="1:21" x14ac:dyDescent="0.3">
      <c r="A707">
        <v>24626</v>
      </c>
      <c r="B707" s="1" t="s">
        <v>511</v>
      </c>
      <c r="C707" s="1" t="s">
        <v>1146</v>
      </c>
      <c r="D707" s="2">
        <v>23619</v>
      </c>
      <c r="E707" s="1" t="s">
        <v>49</v>
      </c>
      <c r="F707" s="1" t="s">
        <v>30</v>
      </c>
      <c r="G707" s="1" t="s">
        <v>24</v>
      </c>
      <c r="H707" s="1" t="s">
        <v>24</v>
      </c>
      <c r="I707" s="1" t="s">
        <v>72</v>
      </c>
      <c r="J707">
        <v>79583</v>
      </c>
      <c r="K707">
        <v>0</v>
      </c>
      <c r="L707">
        <v>0</v>
      </c>
      <c r="M707">
        <v>0</v>
      </c>
      <c r="N707">
        <v>3</v>
      </c>
      <c r="O707" s="1" t="s">
        <v>32</v>
      </c>
      <c r="P707">
        <v>0</v>
      </c>
      <c r="Q707">
        <v>0</v>
      </c>
      <c r="R707">
        <v>1</v>
      </c>
      <c r="S707">
        <v>2</v>
      </c>
      <c r="T707">
        <v>0</v>
      </c>
      <c r="U707">
        <f>IF(openpolis_patrimoni_trasparenti_anno_2014[[#This Row],[totale_730_dichiarante]]&lt;&gt;0,LOG10(openpolis_patrimoni_trasparenti_anno_2014[[#This Row],[totale_730_dichiarante]]), 0)</f>
        <v>4.9008203064978328</v>
      </c>
    </row>
    <row r="708" spans="1:21" x14ac:dyDescent="0.3">
      <c r="A708">
        <v>1512</v>
      </c>
      <c r="B708" s="1" t="s">
        <v>109</v>
      </c>
      <c r="C708" s="1" t="s">
        <v>1147</v>
      </c>
      <c r="D708" s="2">
        <v>20294</v>
      </c>
      <c r="E708" s="1" t="s">
        <v>49</v>
      </c>
      <c r="F708" s="1" t="s">
        <v>30</v>
      </c>
      <c r="G708" s="1" t="s">
        <v>24</v>
      </c>
      <c r="H708" s="1" t="s">
        <v>24</v>
      </c>
      <c r="I708" s="1" t="s">
        <v>264</v>
      </c>
      <c r="J708">
        <v>48515</v>
      </c>
      <c r="K708">
        <v>0</v>
      </c>
      <c r="L708">
        <v>0</v>
      </c>
      <c r="M708">
        <v>0</v>
      </c>
      <c r="N708">
        <v>3</v>
      </c>
      <c r="O708" s="1" t="s">
        <v>61</v>
      </c>
      <c r="P708">
        <v>1</v>
      </c>
      <c r="Q708">
        <v>0</v>
      </c>
      <c r="R708">
        <v>1</v>
      </c>
      <c r="S708">
        <v>0</v>
      </c>
      <c r="T708">
        <v>0</v>
      </c>
      <c r="U708">
        <f>IF(openpolis_patrimoni_trasparenti_anno_2014[[#This Row],[totale_730_dichiarante]]&lt;&gt;0,LOG10(openpolis_patrimoni_trasparenti_anno_2014[[#This Row],[totale_730_dichiarante]]), 0)</f>
        <v>4.6858760357167402</v>
      </c>
    </row>
    <row r="709" spans="1:21" x14ac:dyDescent="0.3">
      <c r="A709">
        <v>686328</v>
      </c>
      <c r="B709" s="1" t="s">
        <v>160</v>
      </c>
      <c r="C709" s="1" t="s">
        <v>1148</v>
      </c>
      <c r="D709" s="2">
        <v>29312</v>
      </c>
      <c r="E709" s="1" t="s">
        <v>49</v>
      </c>
      <c r="F709" s="1" t="s">
        <v>30</v>
      </c>
      <c r="G709" s="1" t="s">
        <v>102</v>
      </c>
      <c r="H709" s="1" t="s">
        <v>102</v>
      </c>
      <c r="I709" s="1" t="s">
        <v>64</v>
      </c>
      <c r="J709">
        <v>87618</v>
      </c>
      <c r="K709">
        <v>0</v>
      </c>
      <c r="L709">
        <v>0</v>
      </c>
      <c r="M709">
        <v>0</v>
      </c>
      <c r="N709">
        <v>2</v>
      </c>
      <c r="O709" s="1" t="s">
        <v>43</v>
      </c>
      <c r="P709">
        <v>1</v>
      </c>
      <c r="Q709">
        <v>0</v>
      </c>
      <c r="R709">
        <v>2</v>
      </c>
      <c r="S709">
        <v>1</v>
      </c>
      <c r="T709">
        <v>0</v>
      </c>
      <c r="U709">
        <f>IF(openpolis_patrimoni_trasparenti_anno_2014[[#This Row],[totale_730_dichiarante]]&lt;&gt;0,LOG10(openpolis_patrimoni_trasparenti_anno_2014[[#This Row],[totale_730_dichiarante]]), 0)</f>
        <v>4.9425933355931599</v>
      </c>
    </row>
    <row r="710" spans="1:21" x14ac:dyDescent="0.3">
      <c r="A710">
        <v>685853</v>
      </c>
      <c r="B710" s="1" t="s">
        <v>235</v>
      </c>
      <c r="C710" s="1" t="s">
        <v>1149</v>
      </c>
      <c r="D710" s="2">
        <v>24218</v>
      </c>
      <c r="E710" s="1" t="s">
        <v>29</v>
      </c>
      <c r="F710" s="1" t="s">
        <v>30</v>
      </c>
      <c r="G710" s="1" t="s">
        <v>25</v>
      </c>
      <c r="H710" s="1" t="s">
        <v>68</v>
      </c>
      <c r="I710" s="1" t="s">
        <v>55</v>
      </c>
      <c r="J710">
        <v>130033</v>
      </c>
      <c r="K710">
        <v>0</v>
      </c>
      <c r="L710">
        <v>0</v>
      </c>
      <c r="M710">
        <v>0</v>
      </c>
      <c r="N710">
        <v>2</v>
      </c>
      <c r="O710" s="1" t="s">
        <v>43</v>
      </c>
      <c r="P710">
        <v>5</v>
      </c>
      <c r="Q710">
        <v>4</v>
      </c>
      <c r="R710">
        <v>2</v>
      </c>
      <c r="S710">
        <v>0</v>
      </c>
      <c r="T710">
        <v>0</v>
      </c>
      <c r="U710">
        <f>IF(openpolis_patrimoni_trasparenti_anno_2014[[#This Row],[totale_730_dichiarante]]&lt;&gt;0,LOG10(openpolis_patrimoni_trasparenti_anno_2014[[#This Row],[totale_730_dichiarante]]), 0)</f>
        <v>5.1140535823005662</v>
      </c>
    </row>
    <row r="711" spans="1:21" x14ac:dyDescent="0.3">
      <c r="A711">
        <v>686158</v>
      </c>
      <c r="B711" s="1" t="s">
        <v>1150</v>
      </c>
      <c r="C711" s="1" t="s">
        <v>1151</v>
      </c>
      <c r="D711" s="2">
        <v>31762</v>
      </c>
      <c r="E711" s="1" t="s">
        <v>22</v>
      </c>
      <c r="F711" s="1" t="s">
        <v>30</v>
      </c>
      <c r="G711" s="1" t="s">
        <v>24</v>
      </c>
      <c r="H711" s="1" t="s">
        <v>24</v>
      </c>
      <c r="I711" s="1" t="s">
        <v>132</v>
      </c>
      <c r="J711">
        <v>78230</v>
      </c>
      <c r="K711">
        <v>0</v>
      </c>
      <c r="L711">
        <v>0</v>
      </c>
      <c r="M711">
        <v>0</v>
      </c>
      <c r="N711">
        <v>3</v>
      </c>
      <c r="O711" s="1" t="s">
        <v>32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f>IF(openpolis_patrimoni_trasparenti_anno_2014[[#This Row],[totale_730_dichiarante]]&lt;&gt;0,LOG10(openpolis_patrimoni_trasparenti_anno_2014[[#This Row],[totale_730_dichiarante]]), 0)</f>
        <v>4.8933733302460247</v>
      </c>
    </row>
    <row r="712" spans="1:21" x14ac:dyDescent="0.3">
      <c r="A712">
        <v>7298</v>
      </c>
      <c r="B712" s="1" t="s">
        <v>317</v>
      </c>
      <c r="C712" s="1" t="s">
        <v>1152</v>
      </c>
      <c r="D712" s="2">
        <v>24577</v>
      </c>
      <c r="E712" s="1" t="s">
        <v>249</v>
      </c>
      <c r="F712" s="1" t="s">
        <v>30</v>
      </c>
      <c r="G712" s="1" t="s">
        <v>24</v>
      </c>
      <c r="H712" s="1" t="s">
        <v>24</v>
      </c>
      <c r="I712" s="1" t="s">
        <v>115</v>
      </c>
      <c r="J712">
        <v>79789</v>
      </c>
      <c r="K712">
        <v>0</v>
      </c>
      <c r="L712">
        <v>0</v>
      </c>
      <c r="M712">
        <v>0</v>
      </c>
      <c r="N712">
        <v>2</v>
      </c>
      <c r="O712" s="1" t="s">
        <v>43</v>
      </c>
      <c r="P712">
        <v>0</v>
      </c>
      <c r="Q712">
        <v>0</v>
      </c>
      <c r="R712">
        <v>1</v>
      </c>
      <c r="S712">
        <v>0</v>
      </c>
      <c r="T712">
        <v>0</v>
      </c>
      <c r="U712">
        <f>IF(openpolis_patrimoni_trasparenti_anno_2014[[#This Row],[totale_730_dichiarante]]&lt;&gt;0,LOG10(openpolis_patrimoni_trasparenti_anno_2014[[#This Row],[totale_730_dichiarante]]), 0)</f>
        <v>4.9019430220701583</v>
      </c>
    </row>
    <row r="713" spans="1:21" x14ac:dyDescent="0.3">
      <c r="A713">
        <v>265</v>
      </c>
      <c r="B713" s="1" t="s">
        <v>230</v>
      </c>
      <c r="C713" s="1" t="s">
        <v>1153</v>
      </c>
      <c r="D713" s="2">
        <v>26550</v>
      </c>
      <c r="E713" s="1" t="s">
        <v>22</v>
      </c>
      <c r="F713" s="1" t="s">
        <v>30</v>
      </c>
      <c r="G713" s="1" t="s">
        <v>36</v>
      </c>
      <c r="H713" s="1" t="s">
        <v>54</v>
      </c>
      <c r="I713" s="1" t="s">
        <v>200</v>
      </c>
      <c r="J713">
        <v>104821</v>
      </c>
      <c r="K713">
        <v>0</v>
      </c>
      <c r="L713">
        <v>0</v>
      </c>
      <c r="M713">
        <v>0</v>
      </c>
      <c r="N713">
        <v>3</v>
      </c>
      <c r="O713" s="1" t="s">
        <v>32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f>IF(openpolis_patrimoni_trasparenti_anno_2014[[#This Row],[totale_730_dichiarante]]&lt;&gt;0,LOG10(openpolis_patrimoni_trasparenti_anno_2014[[#This Row],[totale_730_dichiarante]]), 0)</f>
        <v>5.0204482985874321</v>
      </c>
    </row>
    <row r="714" spans="1:21" x14ac:dyDescent="0.3">
      <c r="A714">
        <v>81211</v>
      </c>
      <c r="B714" s="1" t="s">
        <v>51</v>
      </c>
      <c r="C714" s="1" t="s">
        <v>1154</v>
      </c>
      <c r="D714" s="2">
        <v>20928</v>
      </c>
      <c r="E714" s="1" t="s">
        <v>35</v>
      </c>
      <c r="F714" s="1" t="s">
        <v>30</v>
      </c>
      <c r="G714" s="1" t="s">
        <v>147</v>
      </c>
      <c r="H714" s="1" t="s">
        <v>97</v>
      </c>
      <c r="I714" s="1" t="s">
        <v>89</v>
      </c>
      <c r="J714">
        <v>108245</v>
      </c>
      <c r="K714">
        <v>0</v>
      </c>
      <c r="L714">
        <v>0</v>
      </c>
      <c r="M714">
        <v>0</v>
      </c>
      <c r="N714">
        <v>3</v>
      </c>
      <c r="O714" s="1" t="s">
        <v>32</v>
      </c>
      <c r="P714">
        <v>2</v>
      </c>
      <c r="Q714">
        <v>0</v>
      </c>
      <c r="R714">
        <v>2</v>
      </c>
      <c r="S714">
        <v>0</v>
      </c>
      <c r="T714">
        <v>0</v>
      </c>
      <c r="U714">
        <f>IF(openpolis_patrimoni_trasparenti_anno_2014[[#This Row],[totale_730_dichiarante]]&lt;&gt;0,LOG10(openpolis_patrimoni_trasparenti_anno_2014[[#This Row],[totale_730_dichiarante]]), 0)</f>
        <v>5.0344078447708025</v>
      </c>
    </row>
    <row r="715" spans="1:21" x14ac:dyDescent="0.3">
      <c r="A715">
        <v>264</v>
      </c>
      <c r="B715" s="1" t="s">
        <v>646</v>
      </c>
      <c r="C715" s="1" t="s">
        <v>1155</v>
      </c>
      <c r="D715" s="2">
        <v>24534</v>
      </c>
      <c r="E715" s="1" t="s">
        <v>35</v>
      </c>
      <c r="F715" s="1" t="s">
        <v>30</v>
      </c>
      <c r="G715" s="1" t="s">
        <v>53</v>
      </c>
      <c r="H715" s="1" t="s">
        <v>53</v>
      </c>
      <c r="I715" s="1" t="s">
        <v>72</v>
      </c>
      <c r="J715">
        <v>129995</v>
      </c>
      <c r="K715">
        <v>0</v>
      </c>
      <c r="L715">
        <v>0</v>
      </c>
      <c r="M715">
        <v>0</v>
      </c>
      <c r="N715">
        <v>3</v>
      </c>
      <c r="O715" s="1" t="s">
        <v>32</v>
      </c>
      <c r="P715">
        <v>5</v>
      </c>
      <c r="Q715">
        <v>0</v>
      </c>
      <c r="R715">
        <v>4</v>
      </c>
      <c r="S715">
        <v>2</v>
      </c>
      <c r="T715">
        <v>2</v>
      </c>
      <c r="U715">
        <f>IF(openpolis_patrimoni_trasparenti_anno_2014[[#This Row],[totale_730_dichiarante]]&lt;&gt;0,LOG10(openpolis_patrimoni_trasparenti_anno_2014[[#This Row],[totale_730_dichiarante]]), 0)</f>
        <v>5.1139266483516854</v>
      </c>
    </row>
    <row r="716" spans="1:21" x14ac:dyDescent="0.3">
      <c r="A716">
        <v>9514</v>
      </c>
      <c r="B716" s="1" t="s">
        <v>138</v>
      </c>
      <c r="C716" s="1" t="s">
        <v>1156</v>
      </c>
      <c r="D716" s="2">
        <v>25066</v>
      </c>
      <c r="E716" s="1" t="s">
        <v>35</v>
      </c>
      <c r="F716" s="1" t="s">
        <v>30</v>
      </c>
      <c r="G716" s="1" t="s">
        <v>24</v>
      </c>
      <c r="H716" s="1" t="s">
        <v>24</v>
      </c>
      <c r="I716" s="1" t="s">
        <v>89</v>
      </c>
      <c r="J716">
        <v>13736</v>
      </c>
      <c r="K716">
        <v>20076</v>
      </c>
      <c r="L716">
        <v>0</v>
      </c>
      <c r="M716">
        <v>0</v>
      </c>
      <c r="N716">
        <v>3</v>
      </c>
      <c r="O716" s="1" t="s">
        <v>32</v>
      </c>
      <c r="P716">
        <v>2</v>
      </c>
      <c r="Q716">
        <v>0</v>
      </c>
      <c r="R716">
        <v>1</v>
      </c>
      <c r="S716">
        <v>2</v>
      </c>
      <c r="T716">
        <v>1</v>
      </c>
      <c r="U716">
        <f>IF(openpolis_patrimoni_trasparenti_anno_2014[[#This Row],[totale_730_dichiarante]]&lt;&gt;0,LOG10(openpolis_patrimoni_trasparenti_anno_2014[[#This Row],[totale_730_dichiarante]]), 0)</f>
        <v>4.1378602821528601</v>
      </c>
    </row>
    <row r="717" spans="1:21" x14ac:dyDescent="0.3">
      <c r="A717">
        <v>686537</v>
      </c>
      <c r="B717" s="1" t="s">
        <v>1157</v>
      </c>
      <c r="C717" s="1" t="s">
        <v>1158</v>
      </c>
      <c r="D717" s="2">
        <v>30807</v>
      </c>
      <c r="E717" s="1" t="s">
        <v>114</v>
      </c>
      <c r="F717" s="1" t="s">
        <v>30</v>
      </c>
      <c r="G717" s="1" t="s">
        <v>102</v>
      </c>
      <c r="H717" s="1" t="s">
        <v>102</v>
      </c>
      <c r="I717" s="1" t="s">
        <v>169</v>
      </c>
      <c r="J717">
        <v>78230</v>
      </c>
      <c r="K717">
        <v>0</v>
      </c>
      <c r="L717">
        <v>0</v>
      </c>
      <c r="M717">
        <v>0</v>
      </c>
      <c r="N717">
        <v>3</v>
      </c>
      <c r="O717" s="1" t="s">
        <v>32</v>
      </c>
      <c r="P717">
        <v>1</v>
      </c>
      <c r="Q717">
        <v>0</v>
      </c>
      <c r="R717">
        <v>0</v>
      </c>
      <c r="S717">
        <v>0</v>
      </c>
      <c r="T717">
        <v>0</v>
      </c>
      <c r="U717">
        <f>IF(openpolis_patrimoni_trasparenti_anno_2014[[#This Row],[totale_730_dichiarante]]&lt;&gt;0,LOG10(openpolis_patrimoni_trasparenti_anno_2014[[#This Row],[totale_730_dichiarante]]), 0)</f>
        <v>4.8933733302460247</v>
      </c>
    </row>
    <row r="718" spans="1:21" x14ac:dyDescent="0.3">
      <c r="A718">
        <v>686768</v>
      </c>
      <c r="B718" s="1" t="s">
        <v>1159</v>
      </c>
      <c r="C718" s="1" t="s">
        <v>1160</v>
      </c>
      <c r="D718" s="2">
        <v>28409</v>
      </c>
      <c r="E718" s="1" t="s">
        <v>22</v>
      </c>
      <c r="F718" s="1" t="s">
        <v>30</v>
      </c>
      <c r="G718" s="1" t="s">
        <v>24</v>
      </c>
      <c r="H718" s="1" t="s">
        <v>24</v>
      </c>
      <c r="I718" s="1" t="s">
        <v>50</v>
      </c>
      <c r="J718">
        <v>83141</v>
      </c>
      <c r="K718">
        <v>0</v>
      </c>
      <c r="L718">
        <v>0</v>
      </c>
      <c r="M718">
        <v>0</v>
      </c>
      <c r="N718">
        <v>3</v>
      </c>
      <c r="O718" s="1" t="s">
        <v>32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f>IF(openpolis_patrimoni_trasparenti_anno_2014[[#This Row],[totale_730_dichiarante]]&lt;&gt;0,LOG10(openpolis_patrimoni_trasparenti_anno_2014[[#This Row],[totale_730_dichiarante]]), 0)</f>
        <v>4.9198152437914384</v>
      </c>
    </row>
    <row r="719" spans="1:21" x14ac:dyDescent="0.3">
      <c r="A719">
        <v>305588</v>
      </c>
      <c r="B719" s="1" t="s">
        <v>1161</v>
      </c>
      <c r="C719" s="1" t="s">
        <v>1162</v>
      </c>
      <c r="D719" s="2">
        <v>28018</v>
      </c>
      <c r="E719" s="1" t="s">
        <v>35</v>
      </c>
      <c r="F719" s="1" t="s">
        <v>30</v>
      </c>
      <c r="G719" s="1" t="s">
        <v>24</v>
      </c>
      <c r="H719" s="1" t="s">
        <v>24</v>
      </c>
      <c r="I719" s="1" t="s">
        <v>55</v>
      </c>
      <c r="J719">
        <v>20636</v>
      </c>
      <c r="K719">
        <v>0</v>
      </c>
      <c r="L719">
        <v>0</v>
      </c>
      <c r="M719">
        <v>0</v>
      </c>
      <c r="N719">
        <v>3</v>
      </c>
      <c r="O719" s="1" t="s">
        <v>61</v>
      </c>
      <c r="P719">
        <v>2</v>
      </c>
      <c r="Q719">
        <v>0</v>
      </c>
      <c r="R719">
        <v>1</v>
      </c>
      <c r="S719">
        <v>0</v>
      </c>
      <c r="T719">
        <v>0</v>
      </c>
      <c r="U719">
        <f>IF(openpolis_patrimoni_trasparenti_anno_2014[[#This Row],[totale_730_dichiarante]]&lt;&gt;0,LOG10(openpolis_patrimoni_trasparenti_anno_2014[[#This Row],[totale_730_dichiarante]]), 0)</f>
        <v>4.3146255192012708</v>
      </c>
    </row>
    <row r="720" spans="1:21" x14ac:dyDescent="0.3">
      <c r="A720">
        <v>333017</v>
      </c>
      <c r="B720" s="1" t="s">
        <v>292</v>
      </c>
      <c r="C720" s="1" t="s">
        <v>1163</v>
      </c>
      <c r="D720" s="2">
        <v>17217</v>
      </c>
      <c r="E720" s="1" t="s">
        <v>75</v>
      </c>
      <c r="F720" s="1" t="s">
        <v>30</v>
      </c>
      <c r="G720" s="1" t="s">
        <v>36</v>
      </c>
      <c r="H720" s="1" t="s">
        <v>168</v>
      </c>
      <c r="I720" s="1" t="s">
        <v>264</v>
      </c>
      <c r="J720">
        <v>112801</v>
      </c>
      <c r="K720">
        <v>0</v>
      </c>
      <c r="L720">
        <v>0</v>
      </c>
      <c r="M720">
        <v>0</v>
      </c>
      <c r="N720">
        <v>3</v>
      </c>
      <c r="O720" s="1" t="s">
        <v>32</v>
      </c>
      <c r="P720">
        <v>1</v>
      </c>
      <c r="Q720">
        <v>0</v>
      </c>
      <c r="R720">
        <v>1</v>
      </c>
      <c r="S720">
        <v>1</v>
      </c>
      <c r="T720">
        <v>0</v>
      </c>
      <c r="U720">
        <f>IF(openpolis_patrimoni_trasparenti_anno_2014[[#This Row],[totale_730_dichiarante]]&lt;&gt;0,LOG10(openpolis_patrimoni_trasparenti_anno_2014[[#This Row],[totale_730_dichiarante]]), 0)</f>
        <v>5.052312949758643</v>
      </c>
    </row>
    <row r="721" spans="1:21" x14ac:dyDescent="0.3">
      <c r="A721">
        <v>356761</v>
      </c>
      <c r="B721" s="1" t="s">
        <v>1164</v>
      </c>
      <c r="C721" s="1" t="s">
        <v>42</v>
      </c>
      <c r="D721" s="2">
        <v>30077</v>
      </c>
      <c r="E721" s="1" t="s">
        <v>41</v>
      </c>
      <c r="F721" s="1" t="s">
        <v>30</v>
      </c>
      <c r="G721" s="1" t="s">
        <v>36</v>
      </c>
      <c r="H721" s="1" t="s">
        <v>37</v>
      </c>
      <c r="I721" s="1" t="s">
        <v>200</v>
      </c>
      <c r="J721">
        <v>98471</v>
      </c>
      <c r="K721">
        <v>0</v>
      </c>
      <c r="L721">
        <v>0</v>
      </c>
      <c r="M721">
        <v>0</v>
      </c>
      <c r="N721">
        <v>3</v>
      </c>
      <c r="O721" s="1" t="s">
        <v>90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f>IF(openpolis_patrimoni_trasparenti_anno_2014[[#This Row],[totale_730_dichiarante]]&lt;&gt;0,LOG10(openpolis_patrimoni_trasparenti_anno_2014[[#This Row],[totale_730_dichiarante]]), 0)</f>
        <v>4.9933083483213911</v>
      </c>
    </row>
    <row r="722" spans="1:21" x14ac:dyDescent="0.3">
      <c r="A722">
        <v>255</v>
      </c>
      <c r="B722" s="1" t="s">
        <v>1165</v>
      </c>
      <c r="C722" s="1" t="s">
        <v>1166</v>
      </c>
      <c r="D722" s="2">
        <v>20671</v>
      </c>
      <c r="E722" s="1" t="s">
        <v>75</v>
      </c>
      <c r="F722" s="1" t="s">
        <v>30</v>
      </c>
      <c r="G722" s="1" t="s">
        <v>24</v>
      </c>
      <c r="H722" s="1" t="s">
        <v>24</v>
      </c>
      <c r="I722" s="1" t="s">
        <v>38</v>
      </c>
      <c r="J722">
        <v>96938</v>
      </c>
      <c r="K722">
        <v>40555</v>
      </c>
      <c r="L722">
        <v>0</v>
      </c>
      <c r="M722">
        <v>0</v>
      </c>
      <c r="N722">
        <v>3</v>
      </c>
      <c r="O722" s="1" t="s">
        <v>32</v>
      </c>
      <c r="P722">
        <v>2</v>
      </c>
      <c r="Q722">
        <v>1</v>
      </c>
      <c r="R722">
        <v>2</v>
      </c>
      <c r="S722">
        <v>0</v>
      </c>
      <c r="T722">
        <v>0</v>
      </c>
      <c r="U722">
        <f>IF(openpolis_patrimoni_trasparenti_anno_2014[[#This Row],[totale_730_dichiarante]]&lt;&gt;0,LOG10(openpolis_patrimoni_trasparenti_anno_2014[[#This Row],[totale_730_dichiarante]]), 0)</f>
        <v>4.9864940552266006</v>
      </c>
    </row>
    <row r="723" spans="1:21" x14ac:dyDescent="0.3">
      <c r="A723">
        <v>687586</v>
      </c>
      <c r="B723" s="1" t="s">
        <v>785</v>
      </c>
      <c r="C723" s="1" t="s">
        <v>1167</v>
      </c>
      <c r="D723" s="2">
        <v>29169</v>
      </c>
      <c r="E723" s="1" t="s">
        <v>41</v>
      </c>
      <c r="F723" s="1" t="s">
        <v>30</v>
      </c>
      <c r="G723" s="1" t="s">
        <v>278</v>
      </c>
      <c r="H723" s="1" t="s">
        <v>54</v>
      </c>
      <c r="I723" s="1" t="s">
        <v>280</v>
      </c>
      <c r="J723">
        <v>84860.4</v>
      </c>
      <c r="K723">
        <v>0</v>
      </c>
      <c r="L723">
        <v>0</v>
      </c>
      <c r="M723">
        <v>0</v>
      </c>
      <c r="N723">
        <v>3</v>
      </c>
      <c r="O723" s="1" t="s">
        <v>90</v>
      </c>
      <c r="P723">
        <v>2</v>
      </c>
      <c r="Q723">
        <v>0</v>
      </c>
      <c r="R723">
        <v>0</v>
      </c>
      <c r="S723">
        <v>0</v>
      </c>
      <c r="T723">
        <v>0</v>
      </c>
      <c r="U723">
        <f>IF(openpolis_patrimoni_trasparenti_anno_2014[[#This Row],[totale_730_dichiarante]]&lt;&gt;0,LOG10(openpolis_patrimoni_trasparenti_anno_2014[[#This Row],[totale_730_dichiarante]]), 0)</f>
        <v>4.9287050745362224</v>
      </c>
    </row>
    <row r="724" spans="1:21" x14ac:dyDescent="0.3">
      <c r="A724">
        <v>332687</v>
      </c>
      <c r="B724" s="1" t="s">
        <v>1168</v>
      </c>
      <c r="C724" s="1" t="s">
        <v>1169</v>
      </c>
      <c r="D724" s="2">
        <v>28059</v>
      </c>
      <c r="E724" s="1" t="s">
        <v>35</v>
      </c>
      <c r="F724" s="1" t="s">
        <v>30</v>
      </c>
      <c r="G724" s="1" t="s">
        <v>36</v>
      </c>
      <c r="H724" s="1" t="s">
        <v>37</v>
      </c>
      <c r="I724" s="1" t="s">
        <v>111</v>
      </c>
      <c r="J724">
        <v>113606</v>
      </c>
      <c r="K724">
        <v>0</v>
      </c>
      <c r="L724">
        <v>0</v>
      </c>
      <c r="M724">
        <v>0</v>
      </c>
      <c r="N724">
        <v>3</v>
      </c>
      <c r="O724" s="1" t="s">
        <v>32</v>
      </c>
      <c r="P724">
        <v>11</v>
      </c>
      <c r="Q724">
        <v>4</v>
      </c>
      <c r="R724">
        <v>0</v>
      </c>
      <c r="S724">
        <v>0</v>
      </c>
      <c r="T724">
        <v>0</v>
      </c>
      <c r="U724">
        <f>IF(openpolis_patrimoni_trasparenti_anno_2014[[#This Row],[totale_730_dichiarante]]&lt;&gt;0,LOG10(openpolis_patrimoni_trasparenti_anno_2014[[#This Row],[totale_730_dichiarante]]), 0)</f>
        <v>5.0554012688580947</v>
      </c>
    </row>
    <row r="725" spans="1:21" x14ac:dyDescent="0.3">
      <c r="A725">
        <v>357920</v>
      </c>
      <c r="B725" s="1" t="s">
        <v>850</v>
      </c>
      <c r="C725" s="1" t="s">
        <v>1170</v>
      </c>
      <c r="D725" s="2">
        <v>28933</v>
      </c>
      <c r="E725" s="1" t="s">
        <v>35</v>
      </c>
      <c r="F725" s="1" t="s">
        <v>30</v>
      </c>
      <c r="G725" s="1" t="s">
        <v>36</v>
      </c>
      <c r="H725" s="1" t="s">
        <v>168</v>
      </c>
      <c r="I725" s="1" t="s">
        <v>169</v>
      </c>
      <c r="J725">
        <v>80401</v>
      </c>
      <c r="K725">
        <v>0</v>
      </c>
      <c r="L725">
        <v>0</v>
      </c>
      <c r="M725">
        <v>0</v>
      </c>
      <c r="N725">
        <v>3</v>
      </c>
      <c r="O725" s="1" t="s">
        <v>32</v>
      </c>
      <c r="P725">
        <v>1</v>
      </c>
      <c r="Q725">
        <v>0</v>
      </c>
      <c r="R725">
        <v>2</v>
      </c>
      <c r="S725">
        <v>0</v>
      </c>
      <c r="T725">
        <v>0</v>
      </c>
      <c r="U725">
        <f>IF(openpolis_patrimoni_trasparenti_anno_2014[[#This Row],[totale_730_dichiarante]]&lt;&gt;0,LOG10(openpolis_patrimoni_trasparenti_anno_2014[[#This Row],[totale_730_dichiarante]]), 0)</f>
        <v>4.9052614503875196</v>
      </c>
    </row>
    <row r="726" spans="1:21" x14ac:dyDescent="0.3">
      <c r="A726">
        <v>9048</v>
      </c>
      <c r="B726" s="1" t="s">
        <v>99</v>
      </c>
      <c r="C726" s="1" t="s">
        <v>205</v>
      </c>
      <c r="D726" s="2">
        <v>27660</v>
      </c>
      <c r="E726" s="1" t="s">
        <v>63</v>
      </c>
      <c r="F726" s="1" t="s">
        <v>30</v>
      </c>
      <c r="G726" s="1" t="s">
        <v>53</v>
      </c>
      <c r="H726" s="1" t="s">
        <v>54</v>
      </c>
      <c r="I726" s="1" t="s">
        <v>55</v>
      </c>
      <c r="J726">
        <v>98471</v>
      </c>
      <c r="K726">
        <v>0</v>
      </c>
      <c r="L726">
        <v>0</v>
      </c>
      <c r="M726">
        <v>0</v>
      </c>
      <c r="N726">
        <v>3</v>
      </c>
      <c r="O726" s="1" t="s">
        <v>32</v>
      </c>
      <c r="P726">
        <v>1</v>
      </c>
      <c r="Q726">
        <v>0</v>
      </c>
      <c r="R726">
        <v>4</v>
      </c>
      <c r="S726">
        <v>0</v>
      </c>
      <c r="T726">
        <v>0</v>
      </c>
      <c r="U726">
        <f>IF(openpolis_patrimoni_trasparenti_anno_2014[[#This Row],[totale_730_dichiarante]]&lt;&gt;0,LOG10(openpolis_patrimoni_trasparenti_anno_2014[[#This Row],[totale_730_dichiarante]]), 0)</f>
        <v>4.9933083483213911</v>
      </c>
    </row>
    <row r="727" spans="1:21" x14ac:dyDescent="0.3">
      <c r="A727">
        <v>219411</v>
      </c>
      <c r="B727" s="1" t="s">
        <v>389</v>
      </c>
      <c r="C727" s="1" t="s">
        <v>1171</v>
      </c>
      <c r="D727" s="2">
        <v>24690</v>
      </c>
      <c r="E727" s="1" t="s">
        <v>249</v>
      </c>
      <c r="F727" s="1" t="s">
        <v>30</v>
      </c>
      <c r="G727" s="1" t="s">
        <v>24</v>
      </c>
      <c r="H727" s="1" t="s">
        <v>24</v>
      </c>
      <c r="I727" s="1" t="s">
        <v>194</v>
      </c>
      <c r="J727">
        <v>106848</v>
      </c>
      <c r="K727">
        <v>0</v>
      </c>
      <c r="L727">
        <v>0</v>
      </c>
      <c r="M727">
        <v>0</v>
      </c>
      <c r="N727">
        <v>3</v>
      </c>
      <c r="O727" s="1" t="s">
        <v>32</v>
      </c>
      <c r="P727">
        <v>3</v>
      </c>
      <c r="Q727">
        <v>0</v>
      </c>
      <c r="R727">
        <v>0</v>
      </c>
      <c r="S727">
        <v>0</v>
      </c>
      <c r="T727">
        <v>0</v>
      </c>
      <c r="U727">
        <f>IF(openpolis_patrimoni_trasparenti_anno_2014[[#This Row],[totale_730_dichiarante]]&lt;&gt;0,LOG10(openpolis_patrimoni_trasparenti_anno_2014[[#This Row],[totale_730_dichiarante]]), 0)</f>
        <v>5.0287663973742767</v>
      </c>
    </row>
    <row r="728" spans="1:21" x14ac:dyDescent="0.3">
      <c r="A728">
        <v>420242</v>
      </c>
      <c r="B728" s="1" t="s">
        <v>305</v>
      </c>
      <c r="C728" s="1" t="s">
        <v>1172</v>
      </c>
      <c r="D728" s="2">
        <v>28384</v>
      </c>
      <c r="E728" s="1" t="s">
        <v>249</v>
      </c>
      <c r="F728" s="1" t="s">
        <v>30</v>
      </c>
      <c r="G728" s="1" t="s">
        <v>53</v>
      </c>
      <c r="H728" s="1" t="s">
        <v>53</v>
      </c>
      <c r="I728" s="1" t="s">
        <v>72</v>
      </c>
      <c r="J728">
        <v>157760</v>
      </c>
      <c r="K728">
        <v>0</v>
      </c>
      <c r="L728">
        <v>0</v>
      </c>
      <c r="M728">
        <v>0</v>
      </c>
      <c r="N728">
        <v>3</v>
      </c>
      <c r="O728" s="1" t="s">
        <v>32</v>
      </c>
      <c r="P728">
        <v>3</v>
      </c>
      <c r="Q728">
        <v>0</v>
      </c>
      <c r="R728">
        <v>1</v>
      </c>
      <c r="S728">
        <v>0</v>
      </c>
      <c r="T728">
        <v>3</v>
      </c>
      <c r="U728">
        <f>IF(openpolis_patrimoni_trasparenti_anno_2014[[#This Row],[totale_730_dichiarante]]&lt;&gt;0,LOG10(openpolis_patrimoni_trasparenti_anno_2014[[#This Row],[totale_730_dichiarante]]), 0)</f>
        <v>5.197996897597136</v>
      </c>
    </row>
    <row r="729" spans="1:21" x14ac:dyDescent="0.3">
      <c r="A729">
        <v>687583</v>
      </c>
      <c r="B729" s="1" t="s">
        <v>310</v>
      </c>
      <c r="C729" s="1" t="s">
        <v>1173</v>
      </c>
      <c r="D729" s="2">
        <v>29690</v>
      </c>
      <c r="E729" s="1" t="s">
        <v>75</v>
      </c>
      <c r="F729" s="1" t="s">
        <v>30</v>
      </c>
      <c r="G729" s="1" t="s">
        <v>278</v>
      </c>
      <c r="H729" s="1" t="s">
        <v>54</v>
      </c>
      <c r="I729" s="1" t="s">
        <v>280</v>
      </c>
      <c r="J729">
        <v>186615.6</v>
      </c>
      <c r="K729">
        <v>0</v>
      </c>
      <c r="L729">
        <v>0</v>
      </c>
      <c r="M729">
        <v>0</v>
      </c>
      <c r="N729">
        <v>2</v>
      </c>
      <c r="O729" s="1" t="s">
        <v>43</v>
      </c>
      <c r="P729">
        <v>1</v>
      </c>
      <c r="Q729">
        <v>1</v>
      </c>
      <c r="R729">
        <v>2</v>
      </c>
      <c r="S729">
        <v>0</v>
      </c>
      <c r="T729">
        <v>0</v>
      </c>
      <c r="U729">
        <f>IF(openpolis_patrimoni_trasparenti_anno_2014[[#This Row],[totale_730_dichiarante]]&lt;&gt;0,LOG10(openpolis_patrimoni_trasparenti_anno_2014[[#This Row],[totale_730_dichiarante]]), 0)</f>
        <v>5.2709479454701507</v>
      </c>
    </row>
    <row r="730" spans="1:21" x14ac:dyDescent="0.3">
      <c r="A730">
        <v>687295</v>
      </c>
      <c r="B730" s="1" t="s">
        <v>346</v>
      </c>
      <c r="C730" s="1" t="s">
        <v>1174</v>
      </c>
      <c r="D730" s="2">
        <v>28414</v>
      </c>
      <c r="E730" s="1" t="s">
        <v>49</v>
      </c>
      <c r="F730" s="1" t="s">
        <v>30</v>
      </c>
      <c r="G730" s="1" t="s">
        <v>102</v>
      </c>
      <c r="H730" s="1" t="s">
        <v>102</v>
      </c>
      <c r="I730" s="1" t="s">
        <v>55</v>
      </c>
      <c r="J730">
        <v>82849</v>
      </c>
      <c r="K730">
        <v>0</v>
      </c>
      <c r="L730">
        <v>0</v>
      </c>
      <c r="M730">
        <v>0</v>
      </c>
      <c r="N730">
        <v>3</v>
      </c>
      <c r="O730" s="1" t="s">
        <v>32</v>
      </c>
      <c r="P730">
        <v>1</v>
      </c>
      <c r="Q730">
        <v>0</v>
      </c>
      <c r="R730">
        <v>0</v>
      </c>
      <c r="S730">
        <v>0</v>
      </c>
      <c r="T730">
        <v>0</v>
      </c>
      <c r="U730">
        <f>IF(openpolis_patrimoni_trasparenti_anno_2014[[#This Row],[totale_730_dichiarante]]&lt;&gt;0,LOG10(openpolis_patrimoni_trasparenti_anno_2014[[#This Row],[totale_730_dichiarante]]), 0)</f>
        <v>4.9182872707867027</v>
      </c>
    </row>
    <row r="731" spans="1:21" x14ac:dyDescent="0.3">
      <c r="A731">
        <v>497442</v>
      </c>
      <c r="B731" s="1" t="s">
        <v>242</v>
      </c>
      <c r="C731" s="1" t="s">
        <v>1175</v>
      </c>
      <c r="D731" s="2">
        <v>27935</v>
      </c>
      <c r="E731" s="1" t="s">
        <v>41</v>
      </c>
      <c r="F731" s="1" t="s">
        <v>30</v>
      </c>
      <c r="G731" s="1" t="s">
        <v>24</v>
      </c>
      <c r="H731" s="1" t="s">
        <v>24</v>
      </c>
      <c r="I731" s="1" t="s">
        <v>194</v>
      </c>
      <c r="J731">
        <v>174580</v>
      </c>
      <c r="K731">
        <v>0</v>
      </c>
      <c r="L731">
        <v>0</v>
      </c>
      <c r="M731">
        <v>0</v>
      </c>
      <c r="N731">
        <v>3</v>
      </c>
      <c r="O731" s="1" t="s">
        <v>32</v>
      </c>
      <c r="P731">
        <v>3</v>
      </c>
      <c r="Q731">
        <v>0</v>
      </c>
      <c r="R731">
        <v>1</v>
      </c>
      <c r="S731">
        <v>6</v>
      </c>
      <c r="T731">
        <v>0</v>
      </c>
      <c r="U731">
        <f>IF(openpolis_patrimoni_trasparenti_anno_2014[[#This Row],[totale_730_dichiarante]]&lt;&gt;0,LOG10(openpolis_patrimoni_trasparenti_anno_2014[[#This Row],[totale_730_dichiarante]]), 0)</f>
        <v>5.2419944891567809</v>
      </c>
    </row>
    <row r="732" spans="1:21" x14ac:dyDescent="0.3">
      <c r="A732">
        <v>332685</v>
      </c>
      <c r="B732" s="1" t="s">
        <v>1176</v>
      </c>
      <c r="C732" s="1" t="s">
        <v>1177</v>
      </c>
      <c r="D732" s="2">
        <v>21142</v>
      </c>
      <c r="E732" s="1" t="s">
        <v>41</v>
      </c>
      <c r="F732" s="1" t="s">
        <v>30</v>
      </c>
      <c r="G732" s="1" t="s">
        <v>24</v>
      </c>
      <c r="H732" s="1" t="s">
        <v>24</v>
      </c>
      <c r="I732" s="1" t="s">
        <v>132</v>
      </c>
      <c r="J732">
        <v>119647</v>
      </c>
      <c r="K732">
        <v>0</v>
      </c>
      <c r="L732">
        <v>0</v>
      </c>
      <c r="M732">
        <v>0</v>
      </c>
      <c r="N732">
        <v>3</v>
      </c>
      <c r="O732" s="1" t="s">
        <v>32</v>
      </c>
      <c r="P732">
        <v>0</v>
      </c>
      <c r="Q732">
        <v>0</v>
      </c>
      <c r="R732">
        <v>1</v>
      </c>
      <c r="S732">
        <v>0</v>
      </c>
      <c r="T732">
        <v>0</v>
      </c>
      <c r="U732">
        <f>IF(openpolis_patrimoni_trasparenti_anno_2014[[#This Row],[totale_730_dichiarante]]&lt;&gt;0,LOG10(openpolis_patrimoni_trasparenti_anno_2014[[#This Row],[totale_730_dichiarante]]), 0)</f>
        <v>5.0779018136909553</v>
      </c>
    </row>
    <row r="733" spans="1:21" x14ac:dyDescent="0.3">
      <c r="A733">
        <v>332684</v>
      </c>
      <c r="B733" s="1" t="s">
        <v>217</v>
      </c>
      <c r="C733" s="1" t="s">
        <v>1178</v>
      </c>
      <c r="D733" s="2">
        <v>26872</v>
      </c>
      <c r="E733" s="1" t="s">
        <v>307</v>
      </c>
      <c r="F733" s="1" t="s">
        <v>30</v>
      </c>
      <c r="G733" s="1" t="s">
        <v>24</v>
      </c>
      <c r="H733" s="1" t="s">
        <v>24</v>
      </c>
      <c r="I733" s="1" t="s">
        <v>200</v>
      </c>
      <c r="J733">
        <v>98471</v>
      </c>
      <c r="K733">
        <v>0</v>
      </c>
      <c r="L733">
        <v>0</v>
      </c>
      <c r="M733">
        <v>0</v>
      </c>
      <c r="N733">
        <v>2</v>
      </c>
      <c r="O733" s="1" t="s">
        <v>43</v>
      </c>
      <c r="P733">
        <v>0</v>
      </c>
      <c r="Q733">
        <v>0</v>
      </c>
      <c r="R733">
        <v>2</v>
      </c>
      <c r="S733">
        <v>0</v>
      </c>
      <c r="T733">
        <v>0</v>
      </c>
      <c r="U733">
        <f>IF(openpolis_patrimoni_trasparenti_anno_2014[[#This Row],[totale_730_dichiarante]]&lt;&gt;0,LOG10(openpolis_patrimoni_trasparenti_anno_2014[[#This Row],[totale_730_dichiarante]]), 0)</f>
        <v>4.9933083483213911</v>
      </c>
    </row>
    <row r="734" spans="1:21" x14ac:dyDescent="0.3">
      <c r="A734">
        <v>4788</v>
      </c>
      <c r="B734" s="1" t="s">
        <v>804</v>
      </c>
      <c r="C734" s="1" t="s">
        <v>1179</v>
      </c>
      <c r="D734" s="2">
        <v>27648</v>
      </c>
      <c r="E734" s="1" t="s">
        <v>29</v>
      </c>
      <c r="F734" s="1" t="s">
        <v>30</v>
      </c>
      <c r="G734" s="1" t="s">
        <v>24</v>
      </c>
      <c r="H734" s="1" t="s">
        <v>24</v>
      </c>
      <c r="I734" s="1" t="s">
        <v>46</v>
      </c>
      <c r="J734">
        <v>96283</v>
      </c>
      <c r="K734">
        <v>0</v>
      </c>
      <c r="L734">
        <v>0</v>
      </c>
      <c r="M734">
        <v>0</v>
      </c>
      <c r="N734">
        <v>2</v>
      </c>
      <c r="O734" s="1" t="s">
        <v>43</v>
      </c>
      <c r="P734">
        <v>0</v>
      </c>
      <c r="Q734">
        <v>0</v>
      </c>
      <c r="R734">
        <v>1</v>
      </c>
      <c r="S734">
        <v>0</v>
      </c>
      <c r="T734">
        <v>0</v>
      </c>
      <c r="U734">
        <f>IF(openpolis_patrimoni_trasparenti_anno_2014[[#This Row],[totale_730_dichiarante]]&lt;&gt;0,LOG10(openpolis_patrimoni_trasparenti_anno_2014[[#This Row],[totale_730_dichiarante]]), 0)</f>
        <v>4.9835496136257156</v>
      </c>
    </row>
    <row r="735" spans="1:21" x14ac:dyDescent="0.3">
      <c r="A735">
        <v>686782</v>
      </c>
      <c r="B735" s="1" t="s">
        <v>1180</v>
      </c>
      <c r="C735" s="1" t="s">
        <v>1181</v>
      </c>
      <c r="D735" s="2">
        <v>25039</v>
      </c>
      <c r="E735" s="1" t="s">
        <v>49</v>
      </c>
      <c r="F735" s="1" t="s">
        <v>30</v>
      </c>
      <c r="G735" s="1" t="s">
        <v>24</v>
      </c>
      <c r="H735" s="1" t="s">
        <v>24</v>
      </c>
      <c r="I735" s="1" t="s">
        <v>50</v>
      </c>
      <c r="J735">
        <v>91255</v>
      </c>
      <c r="K735">
        <v>0</v>
      </c>
      <c r="L735">
        <v>0</v>
      </c>
      <c r="M735">
        <v>0</v>
      </c>
      <c r="N735">
        <v>3</v>
      </c>
      <c r="O735" s="1" t="s">
        <v>32</v>
      </c>
      <c r="P735">
        <v>1</v>
      </c>
      <c r="Q735">
        <v>1</v>
      </c>
      <c r="R735">
        <v>0</v>
      </c>
      <c r="S735">
        <v>0</v>
      </c>
      <c r="T735">
        <v>0</v>
      </c>
      <c r="U735">
        <f>IF(openpolis_patrimoni_trasparenti_anno_2014[[#This Row],[totale_730_dichiarante]]&lt;&gt;0,LOG10(openpolis_patrimoni_trasparenti_anno_2014[[#This Row],[totale_730_dichiarante]]), 0)</f>
        <v>4.960256669434477</v>
      </c>
    </row>
    <row r="736" spans="1:21" x14ac:dyDescent="0.3">
      <c r="A736">
        <v>4787</v>
      </c>
      <c r="B736" s="1" t="s">
        <v>357</v>
      </c>
      <c r="C736" s="1" t="s">
        <v>627</v>
      </c>
      <c r="D736" s="2">
        <v>17005</v>
      </c>
      <c r="E736" s="1" t="s">
        <v>41</v>
      </c>
      <c r="F736" s="1" t="s">
        <v>30</v>
      </c>
      <c r="G736" s="1" t="s">
        <v>36</v>
      </c>
      <c r="H736" s="1" t="s">
        <v>54</v>
      </c>
      <c r="I736" s="1" t="s">
        <v>46</v>
      </c>
      <c r="J736">
        <v>179351</v>
      </c>
      <c r="K736">
        <v>0</v>
      </c>
      <c r="L736">
        <v>0</v>
      </c>
      <c r="M736">
        <v>0</v>
      </c>
      <c r="N736">
        <v>3</v>
      </c>
      <c r="O736" s="1" t="s">
        <v>32</v>
      </c>
      <c r="P736">
        <v>3</v>
      </c>
      <c r="Q736">
        <v>0</v>
      </c>
      <c r="R736">
        <v>2</v>
      </c>
      <c r="S736">
        <v>2</v>
      </c>
      <c r="T736">
        <v>0</v>
      </c>
      <c r="U736">
        <f>IF(openpolis_patrimoni_trasparenti_anno_2014[[#This Row],[totale_730_dichiarante]]&lt;&gt;0,LOG10(openpolis_patrimoni_trasparenti_anno_2014[[#This Row],[totale_730_dichiarante]]), 0)</f>
        <v>5.2537038024966307</v>
      </c>
    </row>
    <row r="737" spans="1:21" x14ac:dyDescent="0.3">
      <c r="A737">
        <v>4670</v>
      </c>
      <c r="B737" s="1" t="s">
        <v>1182</v>
      </c>
      <c r="C737" s="1" t="s">
        <v>1183</v>
      </c>
      <c r="D737" s="2">
        <v>17716</v>
      </c>
      <c r="E737" s="1" t="s">
        <v>35</v>
      </c>
      <c r="F737" s="1" t="s">
        <v>30</v>
      </c>
      <c r="G737" s="1" t="s">
        <v>36</v>
      </c>
      <c r="H737" s="1" t="s">
        <v>37</v>
      </c>
      <c r="I737" s="1" t="s">
        <v>31</v>
      </c>
      <c r="J737">
        <v>132424</v>
      </c>
      <c r="K737">
        <v>0</v>
      </c>
      <c r="L737">
        <v>0</v>
      </c>
      <c r="M737">
        <v>0</v>
      </c>
      <c r="N737">
        <v>3</v>
      </c>
      <c r="O737" s="1" t="s">
        <v>32</v>
      </c>
      <c r="P737">
        <v>10</v>
      </c>
      <c r="Q737">
        <v>1</v>
      </c>
      <c r="R737">
        <v>1</v>
      </c>
      <c r="S737">
        <v>3</v>
      </c>
      <c r="T737">
        <v>1</v>
      </c>
      <c r="U737">
        <f>IF(openpolis_patrimoni_trasparenti_anno_2014[[#This Row],[totale_730_dichiarante]]&lt;&gt;0,LOG10(openpolis_patrimoni_trasparenti_anno_2014[[#This Row],[totale_730_dichiarante]]), 0)</f>
        <v>5.1219667020447002</v>
      </c>
    </row>
    <row r="738" spans="1:21" x14ac:dyDescent="0.3">
      <c r="A738">
        <v>687353</v>
      </c>
      <c r="B738" s="1" t="s">
        <v>908</v>
      </c>
      <c r="C738" s="1" t="s">
        <v>110</v>
      </c>
      <c r="D738" s="2">
        <v>27538</v>
      </c>
      <c r="E738" s="1" t="s">
        <v>29</v>
      </c>
      <c r="F738" s="1" t="s">
        <v>30</v>
      </c>
      <c r="G738" s="1" t="s">
        <v>102</v>
      </c>
      <c r="H738" s="1" t="s">
        <v>102</v>
      </c>
      <c r="I738" s="1" t="s">
        <v>159</v>
      </c>
      <c r="J738">
        <v>83958</v>
      </c>
      <c r="K738">
        <v>0</v>
      </c>
      <c r="L738">
        <v>0</v>
      </c>
      <c r="M738">
        <v>0</v>
      </c>
      <c r="N738">
        <v>3</v>
      </c>
      <c r="O738" s="1" t="s">
        <v>32</v>
      </c>
      <c r="P738">
        <v>1</v>
      </c>
      <c r="Q738">
        <v>0</v>
      </c>
      <c r="R738">
        <v>1</v>
      </c>
      <c r="S738">
        <v>1</v>
      </c>
      <c r="T738">
        <v>0</v>
      </c>
      <c r="U738">
        <f>IF(openpolis_patrimoni_trasparenti_anno_2014[[#This Row],[totale_730_dichiarante]]&lt;&gt;0,LOG10(openpolis_patrimoni_trasparenti_anno_2014[[#This Row],[totale_730_dichiarante]]), 0)</f>
        <v>4.9240620845160175</v>
      </c>
    </row>
    <row r="739" spans="1:21" x14ac:dyDescent="0.3">
      <c r="A739">
        <v>687580</v>
      </c>
      <c r="B739" s="1" t="s">
        <v>219</v>
      </c>
      <c r="C739" s="1" t="s">
        <v>187</v>
      </c>
      <c r="D739" s="2">
        <v>29337</v>
      </c>
      <c r="E739" s="1" t="s">
        <v>49</v>
      </c>
      <c r="F739" s="1" t="s">
        <v>30</v>
      </c>
      <c r="G739" s="1" t="s">
        <v>102</v>
      </c>
      <c r="H739" s="1" t="s">
        <v>102</v>
      </c>
      <c r="I739" s="1" t="s">
        <v>89</v>
      </c>
      <c r="J739">
        <v>81397</v>
      </c>
      <c r="K739">
        <v>0</v>
      </c>
      <c r="L739">
        <v>0</v>
      </c>
      <c r="M739">
        <v>0</v>
      </c>
      <c r="N739">
        <v>3</v>
      </c>
      <c r="O739" s="1" t="s">
        <v>32</v>
      </c>
      <c r="P739">
        <v>0</v>
      </c>
      <c r="Q739">
        <v>0</v>
      </c>
      <c r="R739">
        <v>1</v>
      </c>
      <c r="S739">
        <v>0</v>
      </c>
      <c r="T739">
        <v>0</v>
      </c>
      <c r="U739">
        <f>IF(openpolis_patrimoni_trasparenti_anno_2014[[#This Row],[totale_730_dichiarante]]&lt;&gt;0,LOG10(openpolis_patrimoni_trasparenti_anno_2014[[#This Row],[totale_730_dichiarante]]), 0)</f>
        <v>4.9106083986551079</v>
      </c>
    </row>
    <row r="740" spans="1:21" x14ac:dyDescent="0.3">
      <c r="A740">
        <v>686238</v>
      </c>
      <c r="B740" s="1" t="s">
        <v>44</v>
      </c>
      <c r="C740" s="1" t="s">
        <v>110</v>
      </c>
      <c r="D740" s="2">
        <v>31961</v>
      </c>
      <c r="E740" s="1" t="s">
        <v>114</v>
      </c>
      <c r="F740" s="1" t="s">
        <v>30</v>
      </c>
      <c r="G740" s="1" t="s">
        <v>102</v>
      </c>
      <c r="H740" s="1" t="s">
        <v>102</v>
      </c>
      <c r="I740" s="1" t="s">
        <v>111</v>
      </c>
      <c r="J740">
        <v>78229</v>
      </c>
      <c r="K740">
        <v>0</v>
      </c>
      <c r="L740">
        <v>0</v>
      </c>
      <c r="M740">
        <v>0</v>
      </c>
      <c r="N740">
        <v>2</v>
      </c>
      <c r="O740" s="1" t="s">
        <v>43</v>
      </c>
      <c r="P740">
        <v>0</v>
      </c>
      <c r="Q740">
        <v>0</v>
      </c>
      <c r="R740">
        <v>2</v>
      </c>
      <c r="S740">
        <v>0</v>
      </c>
      <c r="T740">
        <v>0</v>
      </c>
      <c r="U740">
        <f>IF(openpolis_patrimoni_trasparenti_anno_2014[[#This Row],[totale_730_dichiarante]]&lt;&gt;0,LOG10(openpolis_patrimoni_trasparenti_anno_2014[[#This Row],[totale_730_dichiarante]]), 0)</f>
        <v>4.8933677787024008</v>
      </c>
    </row>
    <row r="741" spans="1:21" x14ac:dyDescent="0.3">
      <c r="A741">
        <v>205</v>
      </c>
      <c r="B741" s="1" t="s">
        <v>357</v>
      </c>
      <c r="C741" s="1" t="s">
        <v>1184</v>
      </c>
      <c r="D741" s="2">
        <v>23165</v>
      </c>
      <c r="E741" s="1" t="s">
        <v>35</v>
      </c>
      <c r="F741" s="1" t="s">
        <v>30</v>
      </c>
      <c r="G741" s="1" t="s">
        <v>36</v>
      </c>
      <c r="H741" s="1" t="s">
        <v>168</v>
      </c>
      <c r="I741" s="1" t="s">
        <v>64</v>
      </c>
      <c r="J741">
        <v>98471</v>
      </c>
      <c r="K741">
        <v>0</v>
      </c>
      <c r="L741">
        <v>0</v>
      </c>
      <c r="M741">
        <v>0</v>
      </c>
      <c r="N741">
        <v>3</v>
      </c>
      <c r="O741" s="1" t="s">
        <v>90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f>IF(openpolis_patrimoni_trasparenti_anno_2014[[#This Row],[totale_730_dichiarante]]&lt;&gt;0,LOG10(openpolis_patrimoni_trasparenti_anno_2014[[#This Row],[totale_730_dichiarante]]), 0)</f>
        <v>4.9933083483213911</v>
      </c>
    </row>
    <row r="742" spans="1:21" x14ac:dyDescent="0.3">
      <c r="A742">
        <v>501411</v>
      </c>
      <c r="B742" s="1" t="s">
        <v>346</v>
      </c>
      <c r="C742" s="1" t="s">
        <v>1185</v>
      </c>
      <c r="D742" s="2">
        <v>23299</v>
      </c>
      <c r="E742" s="1" t="s">
        <v>710</v>
      </c>
      <c r="F742" s="1" t="s">
        <v>30</v>
      </c>
      <c r="G742" s="1" t="s">
        <v>24</v>
      </c>
      <c r="H742" s="1" t="s">
        <v>24</v>
      </c>
      <c r="I742" s="1" t="s">
        <v>111</v>
      </c>
      <c r="J742">
        <v>1743</v>
      </c>
      <c r="K742">
        <v>0</v>
      </c>
      <c r="L742">
        <v>0</v>
      </c>
      <c r="M742">
        <v>0</v>
      </c>
      <c r="N742">
        <v>3</v>
      </c>
      <c r="O742" s="1" t="s">
        <v>32</v>
      </c>
      <c r="P742">
        <v>0</v>
      </c>
      <c r="Q742">
        <v>0</v>
      </c>
      <c r="R742">
        <v>1</v>
      </c>
      <c r="S742">
        <v>1</v>
      </c>
      <c r="T742">
        <v>0</v>
      </c>
      <c r="U742">
        <f>IF(openpolis_patrimoni_trasparenti_anno_2014[[#This Row],[totale_730_dichiarante]]&lt;&gt;0,LOG10(openpolis_patrimoni_trasparenti_anno_2014[[#This Row],[totale_730_dichiarante]]), 0)</f>
        <v>3.2412973871099933</v>
      </c>
    </row>
    <row r="743" spans="1:21" x14ac:dyDescent="0.3">
      <c r="A743">
        <v>332679</v>
      </c>
      <c r="B743" s="1" t="s">
        <v>1186</v>
      </c>
      <c r="C743" s="1" t="s">
        <v>1187</v>
      </c>
      <c r="D743" s="2">
        <v>24769</v>
      </c>
      <c r="E743" s="1" t="s">
        <v>156</v>
      </c>
      <c r="F743" s="1" t="s">
        <v>30</v>
      </c>
      <c r="G743" s="1" t="s">
        <v>36</v>
      </c>
      <c r="H743" s="1" t="s">
        <v>37</v>
      </c>
      <c r="I743" s="1" t="s">
        <v>111</v>
      </c>
      <c r="J743">
        <v>105500</v>
      </c>
      <c r="K743">
        <v>0</v>
      </c>
      <c r="L743">
        <v>0</v>
      </c>
      <c r="M743">
        <v>0</v>
      </c>
      <c r="N743">
        <v>3</v>
      </c>
      <c r="O743" s="1" t="s">
        <v>32</v>
      </c>
      <c r="P743">
        <v>2</v>
      </c>
      <c r="Q743">
        <v>0</v>
      </c>
      <c r="R743">
        <v>2</v>
      </c>
      <c r="S743">
        <v>0</v>
      </c>
      <c r="T743">
        <v>0</v>
      </c>
      <c r="U743">
        <f>IF(openpolis_patrimoni_trasparenti_anno_2014[[#This Row],[totale_730_dichiarante]]&lt;&gt;0,LOG10(openpolis_patrimoni_trasparenti_anno_2014[[#This Row],[totale_730_dichiarante]]), 0)</f>
        <v>5.0232524596337118</v>
      </c>
    </row>
    <row r="744" spans="1:21" x14ac:dyDescent="0.3">
      <c r="A744">
        <v>332677</v>
      </c>
      <c r="B744" s="1" t="s">
        <v>65</v>
      </c>
      <c r="C744" s="1" t="s">
        <v>1188</v>
      </c>
      <c r="D744" s="2">
        <v>22903</v>
      </c>
      <c r="E744" s="1" t="s">
        <v>29</v>
      </c>
      <c r="F744" s="1" t="s">
        <v>30</v>
      </c>
      <c r="G744" s="1" t="s">
        <v>24</v>
      </c>
      <c r="H744" s="1" t="s">
        <v>24</v>
      </c>
      <c r="I744" s="1" t="s">
        <v>200</v>
      </c>
      <c r="J744">
        <v>94031.7</v>
      </c>
      <c r="K744">
        <v>0</v>
      </c>
      <c r="L744">
        <v>0</v>
      </c>
      <c r="M744">
        <v>0</v>
      </c>
      <c r="N744">
        <v>3</v>
      </c>
      <c r="O744" s="1" t="s">
        <v>90</v>
      </c>
      <c r="P744">
        <v>1</v>
      </c>
      <c r="Q744">
        <v>0</v>
      </c>
      <c r="R744">
        <v>1</v>
      </c>
      <c r="S744">
        <v>0</v>
      </c>
      <c r="T744">
        <v>0</v>
      </c>
      <c r="U744">
        <f>IF(openpolis_patrimoni_trasparenti_anno_2014[[#This Row],[totale_730_dichiarante]]&lt;&gt;0,LOG10(openpolis_patrimoni_trasparenti_anno_2014[[#This Row],[totale_730_dichiarante]]), 0)</f>
        <v>4.9732742877935792</v>
      </c>
    </row>
    <row r="745" spans="1:21" x14ac:dyDescent="0.3">
      <c r="A745">
        <v>685849</v>
      </c>
      <c r="B745" s="1" t="s">
        <v>978</v>
      </c>
      <c r="C745" s="1" t="s">
        <v>1189</v>
      </c>
      <c r="D745" s="2">
        <v>29152</v>
      </c>
      <c r="E745" s="1" t="s">
        <v>49</v>
      </c>
      <c r="F745" s="1" t="s">
        <v>30</v>
      </c>
      <c r="G745" s="1" t="s">
        <v>102</v>
      </c>
      <c r="H745" s="1" t="s">
        <v>102</v>
      </c>
      <c r="I745" s="1" t="s">
        <v>55</v>
      </c>
      <c r="J745">
        <v>82931</v>
      </c>
      <c r="K745">
        <v>0</v>
      </c>
      <c r="L745">
        <v>0</v>
      </c>
      <c r="M745">
        <v>0</v>
      </c>
      <c r="N745">
        <v>3</v>
      </c>
      <c r="O745" s="1" t="s">
        <v>32</v>
      </c>
      <c r="P745">
        <v>0</v>
      </c>
      <c r="Q745">
        <v>0</v>
      </c>
      <c r="R745">
        <v>1</v>
      </c>
      <c r="S745">
        <v>0</v>
      </c>
      <c r="T745">
        <v>0</v>
      </c>
      <c r="U745">
        <f>IF(openpolis_patrimoni_trasparenti_anno_2014[[#This Row],[totale_730_dichiarante]]&lt;&gt;0,LOG10(openpolis_patrimoni_trasparenti_anno_2014[[#This Row],[totale_730_dichiarante]]), 0)</f>
        <v>4.9187169022310311</v>
      </c>
    </row>
    <row r="746" spans="1:21" x14ac:dyDescent="0.3">
      <c r="A746">
        <v>685930</v>
      </c>
      <c r="B746" s="1" t="s">
        <v>1091</v>
      </c>
      <c r="C746" s="1" t="s">
        <v>1190</v>
      </c>
      <c r="D746" s="2">
        <v>27107</v>
      </c>
      <c r="E746" s="1" t="s">
        <v>307</v>
      </c>
      <c r="F746" s="1" t="s">
        <v>30</v>
      </c>
      <c r="G746" s="1" t="s">
        <v>102</v>
      </c>
      <c r="H746" s="1" t="s">
        <v>54</v>
      </c>
      <c r="I746" s="1" t="s">
        <v>200</v>
      </c>
      <c r="J746">
        <v>81216</v>
      </c>
      <c r="K746">
        <v>0</v>
      </c>
      <c r="L746">
        <v>0</v>
      </c>
      <c r="M746">
        <v>0</v>
      </c>
      <c r="N746">
        <v>3</v>
      </c>
      <c r="O746" s="1" t="s">
        <v>32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f>IF(openpolis_patrimoni_trasparenti_anno_2014[[#This Row],[totale_730_dichiarante]]&lt;&gt;0,LOG10(openpolis_patrimoni_trasparenti_anno_2014[[#This Row],[totale_730_dichiarante]]), 0)</f>
        <v>4.9096415960785915</v>
      </c>
    </row>
    <row r="747" spans="1:21" x14ac:dyDescent="0.3">
      <c r="A747">
        <v>557459</v>
      </c>
      <c r="B747" s="1" t="s">
        <v>431</v>
      </c>
      <c r="C747" s="1" t="s">
        <v>1191</v>
      </c>
      <c r="D747" s="2">
        <v>25552</v>
      </c>
      <c r="E747" s="1" t="s">
        <v>41</v>
      </c>
      <c r="F747" s="1" t="s">
        <v>30</v>
      </c>
      <c r="G747" s="1" t="s">
        <v>24</v>
      </c>
      <c r="H747" s="1" t="s">
        <v>24</v>
      </c>
      <c r="I747" s="1" t="s">
        <v>72</v>
      </c>
      <c r="J747">
        <v>281904</v>
      </c>
      <c r="K747">
        <v>0</v>
      </c>
      <c r="L747">
        <v>0</v>
      </c>
      <c r="M747">
        <v>0</v>
      </c>
      <c r="N747">
        <v>3</v>
      </c>
      <c r="O747" s="1" t="s">
        <v>32</v>
      </c>
      <c r="P747">
        <v>3</v>
      </c>
      <c r="Q747">
        <v>1</v>
      </c>
      <c r="R747">
        <v>1</v>
      </c>
      <c r="S747">
        <v>10</v>
      </c>
      <c r="T747">
        <v>0</v>
      </c>
      <c r="U747">
        <f>IF(openpolis_patrimoni_trasparenti_anno_2014[[#This Row],[totale_730_dichiarante]]&lt;&gt;0,LOG10(openpolis_patrimoni_trasparenti_anno_2014[[#This Row],[totale_730_dichiarante]]), 0)</f>
        <v>5.4501012382185445</v>
      </c>
    </row>
    <row r="748" spans="1:21" x14ac:dyDescent="0.3">
      <c r="A748">
        <v>686281</v>
      </c>
      <c r="B748" s="1" t="s">
        <v>196</v>
      </c>
      <c r="C748" s="1" t="s">
        <v>1192</v>
      </c>
      <c r="D748" s="2">
        <v>30231</v>
      </c>
      <c r="E748" s="1" t="s">
        <v>101</v>
      </c>
      <c r="F748" s="1" t="s">
        <v>30</v>
      </c>
      <c r="G748" s="1" t="s">
        <v>102</v>
      </c>
      <c r="H748" s="1" t="s">
        <v>102</v>
      </c>
      <c r="I748" s="1" t="s">
        <v>31</v>
      </c>
      <c r="J748">
        <v>82788</v>
      </c>
      <c r="K748">
        <v>0</v>
      </c>
      <c r="L748">
        <v>0</v>
      </c>
      <c r="M748">
        <v>0</v>
      </c>
      <c r="N748">
        <v>2</v>
      </c>
      <c r="O748" s="1" t="s">
        <v>43</v>
      </c>
      <c r="P748">
        <v>0</v>
      </c>
      <c r="Q748">
        <v>0</v>
      </c>
      <c r="R748">
        <v>1</v>
      </c>
      <c r="S748">
        <v>0</v>
      </c>
      <c r="T748">
        <v>0</v>
      </c>
      <c r="U748">
        <f>IF(openpolis_patrimoni_trasparenti_anno_2014[[#This Row],[totale_730_dichiarante]]&lt;&gt;0,LOG10(openpolis_patrimoni_trasparenti_anno_2014[[#This Row],[totale_730_dichiarante]]), 0)</f>
        <v>4.9179673909942192</v>
      </c>
    </row>
    <row r="749" spans="1:21" x14ac:dyDescent="0.3">
      <c r="A749">
        <v>685987</v>
      </c>
      <c r="B749" s="1" t="s">
        <v>1193</v>
      </c>
      <c r="C749" s="1" t="s">
        <v>1194</v>
      </c>
      <c r="D749" s="2">
        <v>27436</v>
      </c>
      <c r="E749" s="1" t="s">
        <v>944</v>
      </c>
      <c r="F749" s="1" t="s">
        <v>30</v>
      </c>
      <c r="G749" s="1" t="s">
        <v>102</v>
      </c>
      <c r="H749" s="1" t="s">
        <v>102</v>
      </c>
      <c r="I749" s="1" t="s">
        <v>72</v>
      </c>
      <c r="J749">
        <v>78229.3</v>
      </c>
      <c r="K749">
        <v>0</v>
      </c>
      <c r="L749">
        <v>0</v>
      </c>
      <c r="M749">
        <v>0</v>
      </c>
      <c r="N749">
        <v>3</v>
      </c>
      <c r="O749" s="1" t="s">
        <v>90</v>
      </c>
      <c r="P749">
        <v>1</v>
      </c>
      <c r="Q749">
        <v>0</v>
      </c>
      <c r="R749">
        <v>1</v>
      </c>
      <c r="S749">
        <v>0</v>
      </c>
      <c r="T749">
        <v>0</v>
      </c>
      <c r="U749">
        <f>IF(openpolis_patrimoni_trasparenti_anno_2014[[#This Row],[totale_730_dichiarante]]&lt;&gt;0,LOG10(openpolis_patrimoni_trasparenti_anno_2014[[#This Row],[totale_730_dichiarante]]), 0)</f>
        <v>4.8933694441729401</v>
      </c>
    </row>
    <row r="750" spans="1:21" x14ac:dyDescent="0.3">
      <c r="A750">
        <v>77900</v>
      </c>
      <c r="B750" s="1" t="s">
        <v>646</v>
      </c>
      <c r="C750" s="1" t="s">
        <v>1195</v>
      </c>
      <c r="D750" s="2">
        <v>27306</v>
      </c>
      <c r="E750" s="1" t="s">
        <v>22</v>
      </c>
      <c r="F750" s="1" t="s">
        <v>30</v>
      </c>
      <c r="G750" s="1" t="s">
        <v>24</v>
      </c>
      <c r="H750" s="1" t="s">
        <v>24</v>
      </c>
      <c r="I750" s="1" t="s">
        <v>111</v>
      </c>
      <c r="J750">
        <v>87085</v>
      </c>
      <c r="K750">
        <v>0</v>
      </c>
      <c r="L750">
        <v>0</v>
      </c>
      <c r="M750">
        <v>0</v>
      </c>
      <c r="N750">
        <v>2</v>
      </c>
      <c r="O750" s="1" t="s">
        <v>43</v>
      </c>
      <c r="P750">
        <v>2</v>
      </c>
      <c r="Q750">
        <v>0</v>
      </c>
      <c r="R750">
        <v>1</v>
      </c>
      <c r="S750">
        <v>0</v>
      </c>
      <c r="T750">
        <v>0</v>
      </c>
      <c r="U750">
        <f>IF(openpolis_patrimoni_trasparenti_anno_2014[[#This Row],[totale_730_dichiarante]]&lt;&gt;0,LOG10(openpolis_patrimoni_trasparenti_anno_2014[[#This Row],[totale_730_dichiarante]]), 0)</f>
        <v>4.9399433561760224</v>
      </c>
    </row>
    <row r="751" spans="1:21" x14ac:dyDescent="0.3">
      <c r="A751">
        <v>14400</v>
      </c>
      <c r="B751" s="1" t="s">
        <v>547</v>
      </c>
      <c r="C751" s="1" t="s">
        <v>1196</v>
      </c>
      <c r="D751" s="2">
        <v>29205</v>
      </c>
      <c r="E751" s="1" t="s">
        <v>49</v>
      </c>
      <c r="F751" s="1" t="s">
        <v>30</v>
      </c>
      <c r="G751" s="1" t="s">
        <v>24</v>
      </c>
      <c r="H751" s="1" t="s">
        <v>24</v>
      </c>
      <c r="I751" s="1" t="s">
        <v>194</v>
      </c>
      <c r="J751">
        <v>91782</v>
      </c>
      <c r="K751">
        <v>0</v>
      </c>
      <c r="L751">
        <v>0</v>
      </c>
      <c r="M751">
        <v>0</v>
      </c>
      <c r="N751">
        <v>3</v>
      </c>
      <c r="O751" s="1" t="s">
        <v>32</v>
      </c>
      <c r="P751">
        <v>1</v>
      </c>
      <c r="Q751">
        <v>0</v>
      </c>
      <c r="R751">
        <v>0</v>
      </c>
      <c r="S751">
        <v>10</v>
      </c>
      <c r="T751">
        <v>0</v>
      </c>
      <c r="U751">
        <f>IF(openpolis_patrimoni_trasparenti_anno_2014[[#This Row],[totale_730_dichiarante]]&lt;&gt;0,LOG10(openpolis_patrimoni_trasparenti_anno_2014[[#This Row],[totale_730_dichiarante]]), 0)</f>
        <v>4.9627575170707798</v>
      </c>
    </row>
    <row r="752" spans="1:21" x14ac:dyDescent="0.3">
      <c r="A752">
        <v>189</v>
      </c>
      <c r="B752" s="1" t="s">
        <v>674</v>
      </c>
      <c r="C752" s="1" t="s">
        <v>1197</v>
      </c>
      <c r="D752" s="2">
        <v>26597</v>
      </c>
      <c r="E752" s="1" t="s">
        <v>156</v>
      </c>
      <c r="F752" s="1" t="s">
        <v>30</v>
      </c>
      <c r="G752" s="1" t="s">
        <v>36</v>
      </c>
      <c r="H752" s="1" t="s">
        <v>37</v>
      </c>
      <c r="I752" s="1" t="s">
        <v>58</v>
      </c>
      <c r="J752">
        <v>108430</v>
      </c>
      <c r="K752">
        <v>0</v>
      </c>
      <c r="L752">
        <v>0</v>
      </c>
      <c r="M752">
        <v>0</v>
      </c>
      <c r="N752">
        <v>3</v>
      </c>
      <c r="O752" s="1" t="s">
        <v>32</v>
      </c>
      <c r="P752">
        <v>0</v>
      </c>
      <c r="Q752">
        <v>0</v>
      </c>
      <c r="R752">
        <v>1</v>
      </c>
      <c r="S752">
        <v>0</v>
      </c>
      <c r="T752">
        <v>0</v>
      </c>
      <c r="U752">
        <f>IF(openpolis_patrimoni_trasparenti_anno_2014[[#This Row],[totale_730_dichiarante]]&lt;&gt;0,LOG10(openpolis_patrimoni_trasparenti_anno_2014[[#This Row],[totale_730_dichiarante]]), 0)</f>
        <v>5.0351494577734632</v>
      </c>
    </row>
    <row r="753" spans="1:21" x14ac:dyDescent="0.3">
      <c r="A753">
        <v>685793</v>
      </c>
      <c r="B753" s="1" t="s">
        <v>1198</v>
      </c>
      <c r="C753" s="1" t="s">
        <v>1199</v>
      </c>
      <c r="D753" s="2">
        <v>28094</v>
      </c>
      <c r="E753" s="1" t="s">
        <v>49</v>
      </c>
      <c r="F753" s="1" t="s">
        <v>30</v>
      </c>
      <c r="G753" s="1" t="s">
        <v>102</v>
      </c>
      <c r="H753" s="1" t="s">
        <v>54</v>
      </c>
      <c r="I753" s="1" t="s">
        <v>42</v>
      </c>
      <c r="J753">
        <v>90289</v>
      </c>
      <c r="K753">
        <v>0</v>
      </c>
      <c r="L753">
        <v>0</v>
      </c>
      <c r="M753">
        <v>0</v>
      </c>
      <c r="N753">
        <v>3</v>
      </c>
      <c r="O753" s="1" t="s">
        <v>32</v>
      </c>
      <c r="P753">
        <v>1</v>
      </c>
      <c r="Q753">
        <v>0</v>
      </c>
      <c r="R753">
        <v>1</v>
      </c>
      <c r="S753">
        <v>1</v>
      </c>
      <c r="T753">
        <v>0</v>
      </c>
      <c r="U753">
        <f>IF(openpolis_patrimoni_trasparenti_anno_2014[[#This Row],[totale_730_dichiarante]]&lt;&gt;0,LOG10(openpolis_patrimoni_trasparenti_anno_2014[[#This Row],[totale_730_dichiarante]]), 0)</f>
        <v>4.9556348430012456</v>
      </c>
    </row>
    <row r="754" spans="1:21" x14ac:dyDescent="0.3">
      <c r="A754">
        <v>686710</v>
      </c>
      <c r="B754" s="1" t="s">
        <v>346</v>
      </c>
      <c r="C754" s="1" t="s">
        <v>1200</v>
      </c>
      <c r="D754" s="2">
        <v>30967</v>
      </c>
      <c r="E754" s="1" t="s">
        <v>307</v>
      </c>
      <c r="F754" s="1" t="s">
        <v>30</v>
      </c>
      <c r="G754" s="1" t="s">
        <v>102</v>
      </c>
      <c r="H754" s="1" t="s">
        <v>54</v>
      </c>
      <c r="I754" s="1" t="s">
        <v>46</v>
      </c>
      <c r="J754">
        <v>81730</v>
      </c>
      <c r="K754">
        <v>0</v>
      </c>
      <c r="L754">
        <v>0</v>
      </c>
      <c r="M754">
        <v>0</v>
      </c>
      <c r="N754">
        <v>2</v>
      </c>
      <c r="O754" s="1" t="s">
        <v>43</v>
      </c>
      <c r="P754">
        <v>0</v>
      </c>
      <c r="Q754">
        <v>0</v>
      </c>
      <c r="R754">
        <v>1</v>
      </c>
      <c r="S754">
        <v>0</v>
      </c>
      <c r="T754">
        <v>0</v>
      </c>
      <c r="U754">
        <f>IF(openpolis_patrimoni_trasparenti_anno_2014[[#This Row],[totale_730_dichiarante]]&lt;&gt;0,LOG10(openpolis_patrimoni_trasparenti_anno_2014[[#This Row],[totale_730_dichiarante]]), 0)</f>
        <v>4.9123814989188004</v>
      </c>
    </row>
    <row r="755" spans="1:21" x14ac:dyDescent="0.3">
      <c r="A755">
        <v>686140</v>
      </c>
      <c r="B755" s="1" t="s">
        <v>211</v>
      </c>
      <c r="C755" s="1" t="s">
        <v>1201</v>
      </c>
      <c r="D755" s="2">
        <v>17299</v>
      </c>
      <c r="E755" s="1" t="s">
        <v>249</v>
      </c>
      <c r="F755" s="1" t="s">
        <v>30</v>
      </c>
      <c r="G755" s="1" t="s">
        <v>36</v>
      </c>
      <c r="H755" s="1" t="s">
        <v>53</v>
      </c>
      <c r="I755" s="1" t="s">
        <v>132</v>
      </c>
      <c r="J755">
        <v>183497</v>
      </c>
      <c r="K755">
        <v>0</v>
      </c>
      <c r="L755">
        <v>0</v>
      </c>
      <c r="M755">
        <v>0</v>
      </c>
      <c r="N755">
        <v>3</v>
      </c>
      <c r="O755" s="1" t="s">
        <v>32</v>
      </c>
      <c r="P755">
        <v>4</v>
      </c>
      <c r="Q755">
        <v>2</v>
      </c>
      <c r="R755">
        <v>1</v>
      </c>
      <c r="S755">
        <v>0</v>
      </c>
      <c r="T755">
        <v>2</v>
      </c>
      <c r="U755">
        <f>IF(openpolis_patrimoni_trasparenti_anno_2014[[#This Row],[totale_730_dichiarante]]&lt;&gt;0,LOG10(openpolis_patrimoni_trasparenti_anno_2014[[#This Row],[totale_730_dichiarante]]), 0)</f>
        <v>5.2636289683478026</v>
      </c>
    </row>
    <row r="756" spans="1:21" x14ac:dyDescent="0.3">
      <c r="A756">
        <v>686708</v>
      </c>
      <c r="B756" s="1" t="s">
        <v>415</v>
      </c>
      <c r="C756" s="1" t="s">
        <v>1202</v>
      </c>
      <c r="D756" s="2">
        <v>27393</v>
      </c>
      <c r="E756" s="1" t="s">
        <v>35</v>
      </c>
      <c r="F756" s="1" t="s">
        <v>30</v>
      </c>
      <c r="G756" s="1" t="s">
        <v>102</v>
      </c>
      <c r="H756" s="1" t="s">
        <v>54</v>
      </c>
      <c r="I756" s="1" t="s">
        <v>46</v>
      </c>
      <c r="J756">
        <v>78229.8</v>
      </c>
      <c r="K756">
        <v>0</v>
      </c>
      <c r="L756">
        <v>0</v>
      </c>
      <c r="M756">
        <v>0</v>
      </c>
      <c r="N756">
        <v>3</v>
      </c>
      <c r="O756" s="1" t="s">
        <v>90</v>
      </c>
      <c r="P756">
        <v>0</v>
      </c>
      <c r="Q756">
        <v>0</v>
      </c>
      <c r="R756">
        <v>0</v>
      </c>
      <c r="S756">
        <v>1</v>
      </c>
      <c r="T756">
        <v>1</v>
      </c>
      <c r="U756">
        <f>IF(openpolis_patrimoni_trasparenti_anno_2014[[#This Row],[totale_730_dichiarante]]&lt;&gt;0,LOG10(openpolis_patrimoni_trasparenti_anno_2014[[#This Row],[totale_730_dichiarante]]), 0)</f>
        <v>4.893372219942977</v>
      </c>
    </row>
    <row r="757" spans="1:21" x14ac:dyDescent="0.3">
      <c r="A757">
        <v>324652</v>
      </c>
      <c r="B757" s="1" t="s">
        <v>1203</v>
      </c>
      <c r="C757" s="1" t="s">
        <v>1204</v>
      </c>
      <c r="D757" s="2">
        <v>21898</v>
      </c>
      <c r="E757" s="1" t="s">
        <v>49</v>
      </c>
      <c r="F757" s="1" t="s">
        <v>30</v>
      </c>
      <c r="G757" s="1" t="s">
        <v>24</v>
      </c>
      <c r="H757" s="1" t="s">
        <v>24</v>
      </c>
      <c r="I757" s="1" t="s">
        <v>111</v>
      </c>
      <c r="J757">
        <v>95411</v>
      </c>
      <c r="K757">
        <v>0</v>
      </c>
      <c r="L757">
        <v>0</v>
      </c>
      <c r="M757">
        <v>0</v>
      </c>
      <c r="N757">
        <v>2</v>
      </c>
      <c r="O757" s="1" t="s">
        <v>43</v>
      </c>
      <c r="P757">
        <v>4</v>
      </c>
      <c r="Q757">
        <v>1</v>
      </c>
      <c r="R757">
        <v>2</v>
      </c>
      <c r="S757">
        <v>2</v>
      </c>
      <c r="T757">
        <v>0</v>
      </c>
      <c r="U757">
        <f>IF(openpolis_patrimoni_trasparenti_anno_2014[[#This Row],[totale_730_dichiarante]]&lt;&gt;0,LOG10(openpolis_patrimoni_trasparenti_anno_2014[[#This Row],[totale_730_dichiarante]]), 0)</f>
        <v>4.979598447701</v>
      </c>
    </row>
    <row r="758" spans="1:21" x14ac:dyDescent="0.3">
      <c r="A758">
        <v>125726</v>
      </c>
      <c r="B758" s="1" t="s">
        <v>1205</v>
      </c>
      <c r="C758" s="1" t="s">
        <v>1206</v>
      </c>
      <c r="D758" s="2">
        <v>23099</v>
      </c>
      <c r="E758" s="1" t="s">
        <v>22</v>
      </c>
      <c r="F758" s="1" t="s">
        <v>30</v>
      </c>
      <c r="G758" s="1" t="s">
        <v>24</v>
      </c>
      <c r="H758" s="1" t="s">
        <v>24</v>
      </c>
      <c r="I758" s="1" t="s">
        <v>50</v>
      </c>
      <c r="J758">
        <v>98471</v>
      </c>
      <c r="K758">
        <v>0</v>
      </c>
      <c r="L758">
        <v>0</v>
      </c>
      <c r="M758">
        <v>0</v>
      </c>
      <c r="N758">
        <v>3</v>
      </c>
      <c r="O758" s="1" t="s">
        <v>32</v>
      </c>
      <c r="P758">
        <v>2</v>
      </c>
      <c r="Q758">
        <v>0</v>
      </c>
      <c r="R758">
        <v>1</v>
      </c>
      <c r="S758">
        <v>0</v>
      </c>
      <c r="T758">
        <v>0</v>
      </c>
      <c r="U758">
        <f>IF(openpolis_patrimoni_trasparenti_anno_2014[[#This Row],[totale_730_dichiarante]]&lt;&gt;0,LOG10(openpolis_patrimoni_trasparenti_anno_2014[[#This Row],[totale_730_dichiarante]]), 0)</f>
        <v>4.9933083483213911</v>
      </c>
    </row>
    <row r="759" spans="1:21" x14ac:dyDescent="0.3">
      <c r="A759">
        <v>687659</v>
      </c>
      <c r="B759" s="1" t="s">
        <v>145</v>
      </c>
      <c r="C759" s="1" t="s">
        <v>1207</v>
      </c>
      <c r="D759" s="2">
        <v>22750</v>
      </c>
      <c r="E759" s="1" t="s">
        <v>136</v>
      </c>
      <c r="F759" s="1" t="s">
        <v>30</v>
      </c>
      <c r="G759" s="1" t="s">
        <v>36</v>
      </c>
      <c r="H759" s="1" t="s">
        <v>37</v>
      </c>
      <c r="I759" s="1" t="s">
        <v>194</v>
      </c>
      <c r="J759">
        <v>100667</v>
      </c>
      <c r="K759">
        <v>0</v>
      </c>
      <c r="L759">
        <v>0</v>
      </c>
      <c r="M759">
        <v>0</v>
      </c>
      <c r="N759">
        <v>3</v>
      </c>
      <c r="O759" s="1" t="s">
        <v>32</v>
      </c>
      <c r="P759">
        <v>1</v>
      </c>
      <c r="Q759">
        <v>0</v>
      </c>
      <c r="R759">
        <v>2</v>
      </c>
      <c r="S759">
        <v>0</v>
      </c>
      <c r="T759">
        <v>0</v>
      </c>
      <c r="U759">
        <f>IF(openpolis_patrimoni_trasparenti_anno_2014[[#This Row],[totale_730_dichiarante]]&lt;&gt;0,LOG10(openpolis_patrimoni_trasparenti_anno_2014[[#This Row],[totale_730_dichiarante]]), 0)</f>
        <v>5.0028871262963053</v>
      </c>
    </row>
    <row r="760" spans="1:21" x14ac:dyDescent="0.3">
      <c r="A760">
        <v>686224</v>
      </c>
      <c r="B760" s="1" t="s">
        <v>762</v>
      </c>
      <c r="C760" s="1" t="s">
        <v>1208</v>
      </c>
      <c r="D760" s="2">
        <v>22132</v>
      </c>
      <c r="E760" s="1" t="s">
        <v>156</v>
      </c>
      <c r="F760" s="1" t="s">
        <v>30</v>
      </c>
      <c r="G760" s="1" t="s">
        <v>24</v>
      </c>
      <c r="H760" s="1" t="s">
        <v>24</v>
      </c>
      <c r="I760" s="1" t="s">
        <v>111</v>
      </c>
      <c r="J760">
        <v>103784</v>
      </c>
      <c r="K760">
        <v>0</v>
      </c>
      <c r="L760">
        <v>0</v>
      </c>
      <c r="M760">
        <v>0</v>
      </c>
      <c r="N760">
        <v>3</v>
      </c>
      <c r="O760" s="1" t="s">
        <v>32</v>
      </c>
      <c r="P760">
        <v>1</v>
      </c>
      <c r="Q760">
        <v>0</v>
      </c>
      <c r="R760">
        <v>1</v>
      </c>
      <c r="S760">
        <v>1</v>
      </c>
      <c r="T760">
        <v>0</v>
      </c>
      <c r="U760">
        <f>IF(openpolis_patrimoni_trasparenti_anno_2014[[#This Row],[totale_730_dichiarante]]&lt;&gt;0,LOG10(openpolis_patrimoni_trasparenti_anno_2014[[#This Row],[totale_730_dichiarante]]), 0)</f>
        <v>5.0161304050797639</v>
      </c>
    </row>
    <row r="761" spans="1:21" x14ac:dyDescent="0.3">
      <c r="A761">
        <v>5146</v>
      </c>
      <c r="B761" s="1" t="s">
        <v>329</v>
      </c>
      <c r="C761" s="1" t="s">
        <v>1209</v>
      </c>
      <c r="D761" s="2">
        <v>24056</v>
      </c>
      <c r="E761" s="1" t="s">
        <v>49</v>
      </c>
      <c r="F761" s="1" t="s">
        <v>30</v>
      </c>
      <c r="G761" s="1" t="s">
        <v>24</v>
      </c>
      <c r="H761" s="1" t="s">
        <v>24</v>
      </c>
      <c r="I761" s="1" t="s">
        <v>393</v>
      </c>
      <c r="J761">
        <v>100185</v>
      </c>
      <c r="K761">
        <v>0</v>
      </c>
      <c r="L761">
        <v>0</v>
      </c>
      <c r="M761">
        <v>0</v>
      </c>
      <c r="N761">
        <v>3</v>
      </c>
      <c r="O761" s="1" t="s">
        <v>32</v>
      </c>
      <c r="P761">
        <v>3</v>
      </c>
      <c r="Q761">
        <v>1</v>
      </c>
      <c r="R761">
        <v>4</v>
      </c>
      <c r="S761">
        <v>0</v>
      </c>
      <c r="T761">
        <v>0</v>
      </c>
      <c r="U761">
        <f>IF(openpolis_patrimoni_trasparenti_anno_2014[[#This Row],[totale_730_dichiarante]]&lt;&gt;0,LOG10(openpolis_patrimoni_trasparenti_anno_2014[[#This Row],[totale_730_dichiarante]]), 0)</f>
        <v>5.0008027025204154</v>
      </c>
    </row>
    <row r="762" spans="1:21" x14ac:dyDescent="0.3">
      <c r="A762">
        <v>685991</v>
      </c>
      <c r="B762" s="1" t="s">
        <v>355</v>
      </c>
      <c r="C762" s="1" t="s">
        <v>1210</v>
      </c>
      <c r="D762" s="2">
        <v>27020</v>
      </c>
      <c r="E762" s="1" t="s">
        <v>22</v>
      </c>
      <c r="F762" s="1" t="s">
        <v>30</v>
      </c>
      <c r="G762" s="1" t="s">
        <v>24</v>
      </c>
      <c r="H762" s="1" t="s">
        <v>24</v>
      </c>
      <c r="I762" s="1" t="s">
        <v>132</v>
      </c>
      <c r="J762">
        <v>99189</v>
      </c>
      <c r="K762">
        <v>0</v>
      </c>
      <c r="L762">
        <v>0</v>
      </c>
      <c r="M762">
        <v>0</v>
      </c>
      <c r="N762">
        <v>3</v>
      </c>
      <c r="O762" s="1" t="s">
        <v>32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f>IF(openpolis_patrimoni_trasparenti_anno_2014[[#This Row],[totale_730_dichiarante]]&lt;&gt;0,LOG10(openpolis_patrimoni_trasparenti_anno_2014[[#This Row],[totale_730_dichiarante]]), 0)</f>
        <v>4.9964635118297069</v>
      </c>
    </row>
    <row r="763" spans="1:21" x14ac:dyDescent="0.3">
      <c r="A763">
        <v>332670</v>
      </c>
      <c r="B763" s="1" t="s">
        <v>217</v>
      </c>
      <c r="C763" s="1" t="s">
        <v>1211</v>
      </c>
      <c r="D763" s="2">
        <v>16331</v>
      </c>
      <c r="E763" s="1" t="s">
        <v>35</v>
      </c>
      <c r="F763" s="1" t="s">
        <v>30</v>
      </c>
      <c r="G763" s="1" t="s">
        <v>36</v>
      </c>
      <c r="H763" s="1" t="s">
        <v>37</v>
      </c>
      <c r="I763" s="1" t="s">
        <v>72</v>
      </c>
      <c r="J763">
        <v>5355604</v>
      </c>
      <c r="K763">
        <v>0</v>
      </c>
      <c r="L763">
        <v>0</v>
      </c>
      <c r="M763">
        <v>0</v>
      </c>
      <c r="N763">
        <v>3</v>
      </c>
      <c r="O763" s="1" t="s">
        <v>32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f>IF(openpolis_patrimoni_trasparenti_anno_2014[[#This Row],[totale_730_dichiarante]]&lt;&gt;0,LOG10(openpolis_patrimoni_trasparenti_anno_2014[[#This Row],[totale_730_dichiarante]]), 0)</f>
        <v>6.7288084572546643</v>
      </c>
    </row>
    <row r="764" spans="1:21" x14ac:dyDescent="0.3">
      <c r="A764">
        <v>687662</v>
      </c>
      <c r="B764" s="1" t="s">
        <v>1212</v>
      </c>
      <c r="C764" s="1" t="s">
        <v>1213</v>
      </c>
      <c r="D764" s="2">
        <v>23507</v>
      </c>
      <c r="E764" s="1" t="s">
        <v>41</v>
      </c>
      <c r="F764" s="1" t="s">
        <v>30</v>
      </c>
      <c r="G764" s="1" t="s">
        <v>24</v>
      </c>
      <c r="H764" s="1" t="s">
        <v>24</v>
      </c>
      <c r="I764" s="1" t="s">
        <v>38</v>
      </c>
      <c r="J764">
        <v>107213</v>
      </c>
      <c r="K764">
        <v>0</v>
      </c>
      <c r="L764">
        <v>0</v>
      </c>
      <c r="M764">
        <v>0</v>
      </c>
      <c r="N764">
        <v>3</v>
      </c>
      <c r="O764" s="1" t="s">
        <v>32</v>
      </c>
      <c r="P764">
        <v>5</v>
      </c>
      <c r="Q764">
        <v>1</v>
      </c>
      <c r="R764">
        <v>2</v>
      </c>
      <c r="S764">
        <v>0</v>
      </c>
      <c r="T764">
        <v>0</v>
      </c>
      <c r="U764">
        <f>IF(openpolis_patrimoni_trasparenti_anno_2014[[#This Row],[totale_730_dichiarante]]&lt;&gt;0,LOG10(openpolis_patrimoni_trasparenti_anno_2014[[#This Row],[totale_730_dichiarante]]), 0)</f>
        <v>5.0302474484720632</v>
      </c>
    </row>
    <row r="765" spans="1:21" x14ac:dyDescent="0.3">
      <c r="A765">
        <v>171</v>
      </c>
      <c r="B765" s="1" t="s">
        <v>305</v>
      </c>
      <c r="C765" s="1" t="s">
        <v>1214</v>
      </c>
      <c r="D765" s="2">
        <v>27369</v>
      </c>
      <c r="E765" s="1" t="s">
        <v>307</v>
      </c>
      <c r="F765" s="1" t="s">
        <v>30</v>
      </c>
      <c r="G765" s="1" t="s">
        <v>53</v>
      </c>
      <c r="H765" s="1" t="s">
        <v>53</v>
      </c>
      <c r="I765" s="1" t="s">
        <v>200</v>
      </c>
      <c r="J765">
        <v>89743</v>
      </c>
      <c r="K765">
        <v>0</v>
      </c>
      <c r="L765">
        <v>0</v>
      </c>
      <c r="M765">
        <v>0</v>
      </c>
      <c r="N765">
        <v>3</v>
      </c>
      <c r="O765" s="1" t="s">
        <v>32</v>
      </c>
      <c r="P765">
        <v>2</v>
      </c>
      <c r="Q765">
        <v>0</v>
      </c>
      <c r="R765">
        <v>5</v>
      </c>
      <c r="S765">
        <v>3</v>
      </c>
      <c r="T765">
        <v>0</v>
      </c>
      <c r="U765">
        <f>IF(openpolis_patrimoni_trasparenti_anno_2014[[#This Row],[totale_730_dichiarante]]&lt;&gt;0,LOG10(openpolis_patrimoni_trasparenti_anno_2014[[#This Row],[totale_730_dichiarante]]), 0)</f>
        <v>4.9530005833792323</v>
      </c>
    </row>
    <row r="766" spans="1:21" x14ac:dyDescent="0.3">
      <c r="A766">
        <v>508028</v>
      </c>
      <c r="B766" s="1" t="s">
        <v>1215</v>
      </c>
      <c r="C766" s="1" t="s">
        <v>1216</v>
      </c>
      <c r="D766" s="2">
        <v>29680</v>
      </c>
      <c r="E766" s="1" t="s">
        <v>146</v>
      </c>
      <c r="F766" s="1" t="s">
        <v>30</v>
      </c>
      <c r="G766" s="1" t="s">
        <v>283</v>
      </c>
      <c r="H766" s="1" t="s">
        <v>54</v>
      </c>
      <c r="I766" s="1" t="s">
        <v>284</v>
      </c>
      <c r="J766">
        <v>106947</v>
      </c>
      <c r="K766">
        <v>0</v>
      </c>
      <c r="L766">
        <v>0</v>
      </c>
      <c r="M766">
        <v>0</v>
      </c>
      <c r="N766">
        <v>3</v>
      </c>
      <c r="O766" s="1" t="s">
        <v>32</v>
      </c>
      <c r="P766">
        <v>0</v>
      </c>
      <c r="Q766">
        <v>0</v>
      </c>
      <c r="R766">
        <v>1</v>
      </c>
      <c r="S766">
        <v>0</v>
      </c>
      <c r="T766">
        <v>0</v>
      </c>
      <c r="U766">
        <f>IF(openpolis_patrimoni_trasparenti_anno_2014[[#This Row],[totale_730_dichiarante]]&lt;&gt;0,LOG10(openpolis_patrimoni_trasparenti_anno_2014[[#This Row],[totale_730_dichiarante]]), 0)</f>
        <v>5.0291686065632799</v>
      </c>
    </row>
    <row r="767" spans="1:21" x14ac:dyDescent="0.3">
      <c r="A767">
        <v>629710</v>
      </c>
      <c r="B767" s="1" t="s">
        <v>329</v>
      </c>
      <c r="C767" s="1" t="s">
        <v>1217</v>
      </c>
      <c r="D767" s="2">
        <v>21345</v>
      </c>
      <c r="E767" s="1" t="s">
        <v>75</v>
      </c>
      <c r="F767" s="1" t="s">
        <v>30</v>
      </c>
      <c r="G767" s="1" t="s">
        <v>24</v>
      </c>
      <c r="H767" s="1" t="s">
        <v>24</v>
      </c>
      <c r="I767" s="1" t="s">
        <v>76</v>
      </c>
      <c r="J767">
        <v>116398</v>
      </c>
      <c r="K767">
        <v>0</v>
      </c>
      <c r="L767">
        <v>0</v>
      </c>
      <c r="M767">
        <v>0</v>
      </c>
      <c r="N767">
        <v>2</v>
      </c>
      <c r="O767" s="1" t="s">
        <v>43</v>
      </c>
      <c r="P767">
        <v>1</v>
      </c>
      <c r="Q767">
        <v>0</v>
      </c>
      <c r="R767">
        <v>1</v>
      </c>
      <c r="S767">
        <v>1</v>
      </c>
      <c r="T767">
        <v>0</v>
      </c>
      <c r="U767">
        <f>IF(openpolis_patrimoni_trasparenti_anno_2014[[#This Row],[totale_730_dichiarante]]&lt;&gt;0,LOG10(openpolis_patrimoni_trasparenti_anno_2014[[#This Row],[totale_730_dichiarante]]), 0)</f>
        <v>5.0659455181452611</v>
      </c>
    </row>
    <row r="768" spans="1:21" x14ac:dyDescent="0.3">
      <c r="A768">
        <v>277140</v>
      </c>
      <c r="B768" s="1" t="s">
        <v>165</v>
      </c>
      <c r="C768" s="1" t="s">
        <v>645</v>
      </c>
      <c r="D768" s="2">
        <v>26629</v>
      </c>
      <c r="E768" s="1" t="s">
        <v>49</v>
      </c>
      <c r="F768" s="1" t="s">
        <v>30</v>
      </c>
      <c r="G768" s="1" t="s">
        <v>126</v>
      </c>
      <c r="H768" s="1" t="s">
        <v>24</v>
      </c>
      <c r="I768" s="1" t="s">
        <v>42</v>
      </c>
      <c r="J768">
        <v>91539</v>
      </c>
      <c r="K768">
        <v>0</v>
      </c>
      <c r="L768">
        <v>0</v>
      </c>
      <c r="M768">
        <v>0</v>
      </c>
      <c r="N768">
        <v>3</v>
      </c>
      <c r="O768" s="1" t="s">
        <v>32</v>
      </c>
      <c r="P768">
        <v>0</v>
      </c>
      <c r="Q768">
        <v>0</v>
      </c>
      <c r="R768">
        <v>1</v>
      </c>
      <c r="S768">
        <v>0</v>
      </c>
      <c r="T768">
        <v>0</v>
      </c>
      <c r="U768">
        <f>IF(openpolis_patrimoni_trasparenti_anno_2014[[#This Row],[totale_730_dichiarante]]&lt;&gt;0,LOG10(openpolis_patrimoni_trasparenti_anno_2014[[#This Row],[totale_730_dichiarante]]), 0)</f>
        <v>4.9616061637516031</v>
      </c>
    </row>
    <row r="769" spans="1:21" x14ac:dyDescent="0.3">
      <c r="A769">
        <v>8364</v>
      </c>
      <c r="B769" s="1" t="s">
        <v>378</v>
      </c>
      <c r="C769" s="1" t="s">
        <v>57</v>
      </c>
      <c r="D769" s="2">
        <v>24344</v>
      </c>
      <c r="E769" s="1" t="s">
        <v>49</v>
      </c>
      <c r="F769" s="1" t="s">
        <v>30</v>
      </c>
      <c r="G769" s="1" t="s">
        <v>24</v>
      </c>
      <c r="H769" s="1" t="s">
        <v>24</v>
      </c>
      <c r="I769" s="1" t="s">
        <v>264</v>
      </c>
      <c r="J769">
        <v>98479</v>
      </c>
      <c r="K769">
        <v>0</v>
      </c>
      <c r="L769">
        <v>0</v>
      </c>
      <c r="M769">
        <v>0</v>
      </c>
      <c r="N769">
        <v>3</v>
      </c>
      <c r="O769" s="1" t="s">
        <v>32</v>
      </c>
      <c r="P769">
        <v>0</v>
      </c>
      <c r="Q769">
        <v>0</v>
      </c>
      <c r="R769">
        <v>1</v>
      </c>
      <c r="S769">
        <v>0</v>
      </c>
      <c r="T769">
        <v>0</v>
      </c>
      <c r="U769">
        <f>IF(openpolis_patrimoni_trasparenti_anno_2014[[#This Row],[totale_730_dichiarante]]&lt;&gt;0,LOG10(openpolis_patrimoni_trasparenti_anno_2014[[#This Row],[totale_730_dichiarante]]), 0)</f>
        <v>4.9933436299244081</v>
      </c>
    </row>
    <row r="770" spans="1:21" x14ac:dyDescent="0.3">
      <c r="A770">
        <v>332669</v>
      </c>
      <c r="B770" s="1" t="s">
        <v>1218</v>
      </c>
      <c r="C770" s="1" t="s">
        <v>1219</v>
      </c>
      <c r="D770" s="2">
        <v>21265</v>
      </c>
      <c r="E770" s="1" t="s">
        <v>41</v>
      </c>
      <c r="F770" s="1" t="s">
        <v>30</v>
      </c>
      <c r="G770" s="1" t="s">
        <v>36</v>
      </c>
      <c r="H770" s="1" t="s">
        <v>54</v>
      </c>
      <c r="I770" s="1" t="s">
        <v>58</v>
      </c>
      <c r="J770">
        <v>600459</v>
      </c>
      <c r="K770">
        <v>0</v>
      </c>
      <c r="L770">
        <v>10000</v>
      </c>
      <c r="M770">
        <v>0</v>
      </c>
      <c r="N770">
        <v>3</v>
      </c>
      <c r="O770" s="1" t="s">
        <v>32</v>
      </c>
      <c r="P770">
        <v>0</v>
      </c>
      <c r="Q770">
        <v>0</v>
      </c>
      <c r="R770">
        <v>3</v>
      </c>
      <c r="S770">
        <v>0</v>
      </c>
      <c r="T770">
        <v>0</v>
      </c>
      <c r="U770">
        <f>IF(openpolis_patrimoni_trasparenti_anno_2014[[#This Row],[totale_730_dichiarante]]&lt;&gt;0,LOG10(openpolis_patrimoni_trasparenti_anno_2014[[#This Row],[totale_730_dichiarante]]), 0)</f>
        <v>5.7784833586470787</v>
      </c>
    </row>
    <row r="771" spans="1:21" x14ac:dyDescent="0.3">
      <c r="A771">
        <v>240904</v>
      </c>
      <c r="B771" s="1" t="s">
        <v>451</v>
      </c>
      <c r="C771" s="1" t="s">
        <v>1220</v>
      </c>
      <c r="D771" s="2">
        <v>21309</v>
      </c>
      <c r="E771" s="1" t="s">
        <v>29</v>
      </c>
      <c r="F771" s="1" t="s">
        <v>30</v>
      </c>
      <c r="G771" s="1" t="s">
        <v>24</v>
      </c>
      <c r="H771" s="1" t="s">
        <v>24</v>
      </c>
      <c r="I771" s="1" t="s">
        <v>111</v>
      </c>
      <c r="J771">
        <v>94563</v>
      </c>
      <c r="K771">
        <v>58414</v>
      </c>
      <c r="L771">
        <v>0</v>
      </c>
      <c r="M771">
        <v>0</v>
      </c>
      <c r="N771">
        <v>1</v>
      </c>
      <c r="O771" s="1" t="s">
        <v>119</v>
      </c>
      <c r="P771">
        <v>2</v>
      </c>
      <c r="Q771">
        <v>0</v>
      </c>
      <c r="R771">
        <v>1</v>
      </c>
      <c r="S771">
        <v>0</v>
      </c>
      <c r="T771">
        <v>0</v>
      </c>
      <c r="U771">
        <f>IF(openpolis_patrimoni_trasparenti_anno_2014[[#This Row],[totale_730_dichiarante]]&lt;&gt;0,LOG10(openpolis_patrimoni_trasparenti_anno_2014[[#This Row],[totale_730_dichiarante]]), 0)</f>
        <v>4.9757212416968519</v>
      </c>
    </row>
    <row r="772" spans="1:21" x14ac:dyDescent="0.3">
      <c r="A772">
        <v>686220</v>
      </c>
      <c r="B772" s="1" t="s">
        <v>44</v>
      </c>
      <c r="C772" s="1" t="s">
        <v>1221</v>
      </c>
      <c r="D772" s="2">
        <v>16395</v>
      </c>
      <c r="E772" s="1" t="s">
        <v>63</v>
      </c>
      <c r="F772" s="1" t="s">
        <v>30</v>
      </c>
      <c r="G772" s="1" t="s">
        <v>24</v>
      </c>
      <c r="H772" s="1" t="s">
        <v>24</v>
      </c>
      <c r="I772" s="1" t="s">
        <v>111</v>
      </c>
      <c r="J772">
        <v>80600</v>
      </c>
      <c r="K772">
        <v>0</v>
      </c>
      <c r="L772">
        <v>0</v>
      </c>
      <c r="M772">
        <v>0</v>
      </c>
      <c r="N772">
        <v>3</v>
      </c>
      <c r="O772" s="1" t="s">
        <v>61</v>
      </c>
      <c r="P772">
        <v>3</v>
      </c>
      <c r="Q772">
        <v>0</v>
      </c>
      <c r="R772">
        <v>1</v>
      </c>
      <c r="S772">
        <v>0</v>
      </c>
      <c r="T772">
        <v>0</v>
      </c>
      <c r="U772">
        <f>IF(openpolis_patrimoni_trasparenti_anno_2014[[#This Row],[totale_730_dichiarante]]&lt;&gt;0,LOG10(openpolis_patrimoni_trasparenti_anno_2014[[#This Row],[totale_730_dichiarante]]), 0)</f>
        <v>4.9063350418050904</v>
      </c>
    </row>
    <row r="773" spans="1:21" x14ac:dyDescent="0.3">
      <c r="A773">
        <v>325708</v>
      </c>
      <c r="B773" s="1" t="s">
        <v>51</v>
      </c>
      <c r="C773" s="1" t="s">
        <v>1222</v>
      </c>
      <c r="D773" s="2">
        <v>28385</v>
      </c>
      <c r="E773" s="1" t="s">
        <v>63</v>
      </c>
      <c r="F773" s="1" t="s">
        <v>30</v>
      </c>
      <c r="G773" s="1" t="s">
        <v>24</v>
      </c>
      <c r="H773" s="1" t="s">
        <v>24</v>
      </c>
      <c r="I773" s="1" t="s">
        <v>64</v>
      </c>
      <c r="J773">
        <v>87888</v>
      </c>
      <c r="K773">
        <v>0</v>
      </c>
      <c r="L773">
        <v>0</v>
      </c>
      <c r="M773">
        <v>0</v>
      </c>
      <c r="N773">
        <v>2</v>
      </c>
      <c r="O773" s="1" t="s">
        <v>43</v>
      </c>
      <c r="P773">
        <v>3</v>
      </c>
      <c r="Q773">
        <v>0</v>
      </c>
      <c r="R773">
        <v>1</v>
      </c>
      <c r="S773">
        <v>0</v>
      </c>
      <c r="T773">
        <v>0</v>
      </c>
      <c r="U773">
        <f>IF(openpolis_patrimoni_trasparenti_anno_2014[[#This Row],[totale_730_dichiarante]]&lt;&gt;0,LOG10(openpolis_patrimoni_trasparenti_anno_2014[[#This Row],[totale_730_dichiarante]]), 0)</f>
        <v>4.9439295816772839</v>
      </c>
    </row>
    <row r="774" spans="1:21" x14ac:dyDescent="0.3">
      <c r="A774">
        <v>7564</v>
      </c>
      <c r="B774" s="1" t="s">
        <v>215</v>
      </c>
      <c r="C774" s="1" t="s">
        <v>1223</v>
      </c>
      <c r="D774" s="2">
        <v>18411</v>
      </c>
      <c r="E774" s="1" t="s">
        <v>156</v>
      </c>
      <c r="F774" s="1" t="s">
        <v>30</v>
      </c>
      <c r="G774" s="1" t="s">
        <v>24</v>
      </c>
      <c r="H774" s="1" t="s">
        <v>24</v>
      </c>
      <c r="I774" s="1" t="s">
        <v>64</v>
      </c>
      <c r="J774">
        <v>83791</v>
      </c>
      <c r="K774">
        <v>0</v>
      </c>
      <c r="L774">
        <v>0</v>
      </c>
      <c r="M774">
        <v>0</v>
      </c>
      <c r="N774">
        <v>3</v>
      </c>
      <c r="O774" s="1" t="s">
        <v>32</v>
      </c>
      <c r="P774">
        <v>3</v>
      </c>
      <c r="Q774">
        <v>0</v>
      </c>
      <c r="R774">
        <v>1</v>
      </c>
      <c r="S774">
        <v>0</v>
      </c>
      <c r="T774">
        <v>1</v>
      </c>
      <c r="U774">
        <f>IF(openpolis_patrimoni_trasparenti_anno_2014[[#This Row],[totale_730_dichiarante]]&lt;&gt;0,LOG10(openpolis_patrimoni_trasparenti_anno_2014[[#This Row],[totale_730_dichiarante]]), 0)</f>
        <v>4.9231973735199679</v>
      </c>
    </row>
    <row r="775" spans="1:21" x14ac:dyDescent="0.3">
      <c r="A775">
        <v>12</v>
      </c>
      <c r="B775" s="1" t="s">
        <v>892</v>
      </c>
      <c r="C775" s="1" t="s">
        <v>1224</v>
      </c>
      <c r="D775" s="2">
        <v>15238</v>
      </c>
      <c r="E775" s="1" t="s">
        <v>22</v>
      </c>
      <c r="F775" s="1" t="s">
        <v>30</v>
      </c>
      <c r="G775" s="1" t="s">
        <v>53</v>
      </c>
      <c r="H775" s="1" t="s">
        <v>53</v>
      </c>
      <c r="I775" s="1" t="s">
        <v>72</v>
      </c>
      <c r="J775">
        <v>98473</v>
      </c>
      <c r="K775">
        <v>0</v>
      </c>
      <c r="L775">
        <v>0</v>
      </c>
      <c r="M775">
        <v>0</v>
      </c>
      <c r="N775">
        <v>3</v>
      </c>
      <c r="O775" s="1" t="s">
        <v>32</v>
      </c>
      <c r="P775">
        <v>1</v>
      </c>
      <c r="Q775">
        <v>1</v>
      </c>
      <c r="R775">
        <v>0</v>
      </c>
      <c r="S775">
        <v>0</v>
      </c>
      <c r="T775">
        <v>0</v>
      </c>
      <c r="U775">
        <f>IF(openpolis_patrimoni_trasparenti_anno_2014[[#This Row],[totale_730_dichiarante]]&lt;&gt;0,LOG10(openpolis_patrimoni_trasparenti_anno_2014[[#This Row],[totale_730_dichiarante]]), 0)</f>
        <v>4.9933171689908589</v>
      </c>
    </row>
    <row r="776" spans="1:21" x14ac:dyDescent="0.3">
      <c r="A776">
        <v>686423</v>
      </c>
      <c r="B776" s="1" t="s">
        <v>1225</v>
      </c>
      <c r="C776" s="1" t="s">
        <v>1226</v>
      </c>
      <c r="D776" s="2">
        <v>20840</v>
      </c>
      <c r="E776" s="1" t="s">
        <v>136</v>
      </c>
      <c r="F776" s="1" t="s">
        <v>30</v>
      </c>
      <c r="G776" s="1" t="s">
        <v>24</v>
      </c>
      <c r="H776" s="1" t="s">
        <v>24</v>
      </c>
      <c r="I776" s="1" t="s">
        <v>58</v>
      </c>
      <c r="J776">
        <v>114662</v>
      </c>
      <c r="K776">
        <v>0</v>
      </c>
      <c r="L776">
        <v>0</v>
      </c>
      <c r="M776">
        <v>0</v>
      </c>
      <c r="N776">
        <v>3</v>
      </c>
      <c r="O776" s="1" t="s">
        <v>32</v>
      </c>
      <c r="P776">
        <v>3</v>
      </c>
      <c r="Q776">
        <v>0</v>
      </c>
      <c r="R776">
        <v>3</v>
      </c>
      <c r="S776">
        <v>0</v>
      </c>
      <c r="T776">
        <v>0</v>
      </c>
      <c r="U776">
        <f>IF(openpolis_patrimoni_trasparenti_anno_2014[[#This Row],[totale_730_dichiarante]]&lt;&gt;0,LOG10(openpolis_patrimoni_trasparenti_anno_2014[[#This Row],[totale_730_dichiarante]]), 0)</f>
        <v>5.0594195127167705</v>
      </c>
    </row>
    <row r="777" spans="1:21" x14ac:dyDescent="0.3">
      <c r="A777">
        <v>4889</v>
      </c>
      <c r="B777" s="1" t="s">
        <v>44</v>
      </c>
      <c r="C777" s="1" t="s">
        <v>1227</v>
      </c>
      <c r="D777" s="2">
        <v>23204</v>
      </c>
      <c r="E777" s="1" t="s">
        <v>35</v>
      </c>
      <c r="F777" s="1" t="s">
        <v>30</v>
      </c>
      <c r="G777" s="1" t="s">
        <v>24</v>
      </c>
      <c r="H777" s="1" t="s">
        <v>24</v>
      </c>
      <c r="I777" s="1" t="s">
        <v>58</v>
      </c>
      <c r="J777">
        <v>93373</v>
      </c>
      <c r="K777">
        <v>0</v>
      </c>
      <c r="L777">
        <v>0</v>
      </c>
      <c r="M777">
        <v>0</v>
      </c>
      <c r="N777">
        <v>3</v>
      </c>
      <c r="O777" s="1" t="s">
        <v>32</v>
      </c>
      <c r="P777">
        <v>3</v>
      </c>
      <c r="Q777">
        <v>0</v>
      </c>
      <c r="R777">
        <v>1</v>
      </c>
      <c r="S777">
        <v>0</v>
      </c>
      <c r="T777">
        <v>0</v>
      </c>
      <c r="U777">
        <f>IF(openpolis_patrimoni_trasparenti_anno_2014[[#This Row],[totale_730_dichiarante]]&lt;&gt;0,LOG10(openpolis_patrimoni_trasparenti_anno_2014[[#This Row],[totale_730_dichiarante]]), 0)</f>
        <v>4.9702213125662551</v>
      </c>
    </row>
    <row r="778" spans="1:21" x14ac:dyDescent="0.3">
      <c r="A778">
        <v>686453</v>
      </c>
      <c r="B778" s="1" t="s">
        <v>1043</v>
      </c>
      <c r="C778" s="1" t="s">
        <v>1228</v>
      </c>
      <c r="D778" s="2">
        <v>23970</v>
      </c>
      <c r="E778" s="1" t="s">
        <v>35</v>
      </c>
      <c r="F778" s="1" t="s">
        <v>176</v>
      </c>
      <c r="G778" s="1" t="s">
        <v>177</v>
      </c>
      <c r="H778" s="1" t="s">
        <v>25</v>
      </c>
      <c r="I778" s="1" t="s">
        <v>115</v>
      </c>
      <c r="J778">
        <v>68195</v>
      </c>
      <c r="K778">
        <v>0</v>
      </c>
      <c r="L778">
        <v>20270</v>
      </c>
      <c r="M778">
        <v>20192.5</v>
      </c>
      <c r="N778">
        <v>2</v>
      </c>
      <c r="O778" s="1" t="s">
        <v>43</v>
      </c>
      <c r="P778">
        <v>3</v>
      </c>
      <c r="Q778">
        <v>0</v>
      </c>
      <c r="R778">
        <v>0</v>
      </c>
      <c r="S778">
        <v>1</v>
      </c>
      <c r="T778">
        <v>0</v>
      </c>
      <c r="U778">
        <f>IF(openpolis_patrimoni_trasparenti_anno_2014[[#This Row],[totale_730_dichiarante]]&lt;&gt;0,LOG10(openpolis_patrimoni_trasparenti_anno_2014[[#This Row],[totale_730_dichiarante]]), 0)</f>
        <v>4.8337525337178739</v>
      </c>
    </row>
    <row r="779" spans="1:21" x14ac:dyDescent="0.3">
      <c r="A779">
        <v>274928</v>
      </c>
      <c r="B779" s="1" t="s">
        <v>451</v>
      </c>
      <c r="C779" s="1" t="s">
        <v>402</v>
      </c>
      <c r="D779" s="2">
        <v>21713</v>
      </c>
      <c r="E779" s="1" t="s">
        <v>249</v>
      </c>
      <c r="F779" s="1" t="s">
        <v>30</v>
      </c>
      <c r="G779" s="1" t="s">
        <v>36</v>
      </c>
      <c r="H779" s="1" t="s">
        <v>168</v>
      </c>
      <c r="I779" s="1" t="s">
        <v>169</v>
      </c>
      <c r="J779">
        <v>100695</v>
      </c>
      <c r="K779">
        <v>0</v>
      </c>
      <c r="L779">
        <v>0</v>
      </c>
      <c r="M779">
        <v>0</v>
      </c>
      <c r="N779">
        <v>3</v>
      </c>
      <c r="O779" s="1" t="s">
        <v>32</v>
      </c>
      <c r="P779">
        <v>3</v>
      </c>
      <c r="Q779">
        <v>0</v>
      </c>
      <c r="R779">
        <v>2</v>
      </c>
      <c r="S779">
        <v>0</v>
      </c>
      <c r="T779">
        <v>0</v>
      </c>
      <c r="U779">
        <f>IF(openpolis_patrimoni_trasparenti_anno_2014[[#This Row],[totale_730_dichiarante]]&lt;&gt;0,LOG10(openpolis_patrimoni_trasparenti_anno_2014[[#This Row],[totale_730_dichiarante]]), 0)</f>
        <v>5.0030079062406019</v>
      </c>
    </row>
    <row r="780" spans="1:21" x14ac:dyDescent="0.3">
      <c r="A780">
        <v>686654</v>
      </c>
      <c r="B780" s="1" t="s">
        <v>1229</v>
      </c>
      <c r="C780" s="1" t="s">
        <v>1230</v>
      </c>
      <c r="D780" s="2">
        <v>19784</v>
      </c>
      <c r="E780" s="1" t="s">
        <v>86</v>
      </c>
      <c r="F780" s="1" t="s">
        <v>30</v>
      </c>
      <c r="G780" s="1" t="s">
        <v>24</v>
      </c>
      <c r="H780" s="1" t="s">
        <v>24</v>
      </c>
      <c r="I780" s="1" t="s">
        <v>38</v>
      </c>
      <c r="J780">
        <v>101999</v>
      </c>
      <c r="K780">
        <v>0</v>
      </c>
      <c r="L780">
        <v>0</v>
      </c>
      <c r="M780">
        <v>0</v>
      </c>
      <c r="N780">
        <v>2</v>
      </c>
      <c r="O780" s="1" t="s">
        <v>43</v>
      </c>
      <c r="P780">
        <v>2</v>
      </c>
      <c r="Q780">
        <v>1</v>
      </c>
      <c r="R780">
        <v>2</v>
      </c>
      <c r="S780">
        <v>0</v>
      </c>
      <c r="T780">
        <v>0</v>
      </c>
      <c r="U780">
        <f>IF(openpolis_patrimoni_trasparenti_anno_2014[[#This Row],[totale_730_dichiarante]]&lt;&gt;0,LOG10(openpolis_patrimoni_trasparenti_anno_2014[[#This Row],[totale_730_dichiarante]]), 0)</f>
        <v>5.008595913952008</v>
      </c>
    </row>
    <row r="781" spans="1:21" x14ac:dyDescent="0.3">
      <c r="A781">
        <v>686674</v>
      </c>
      <c r="B781" s="1" t="s">
        <v>244</v>
      </c>
      <c r="C781" s="1" t="s">
        <v>1231</v>
      </c>
      <c r="D781" s="2">
        <v>24001</v>
      </c>
      <c r="E781" s="1" t="s">
        <v>29</v>
      </c>
      <c r="F781" s="1" t="s">
        <v>30</v>
      </c>
      <c r="G781" s="1" t="s">
        <v>24</v>
      </c>
      <c r="H781" s="1" t="s">
        <v>24</v>
      </c>
      <c r="I781" s="1" t="s">
        <v>46</v>
      </c>
      <c r="J781">
        <v>106785</v>
      </c>
      <c r="K781">
        <v>0</v>
      </c>
      <c r="L781">
        <v>0</v>
      </c>
      <c r="M781">
        <v>0</v>
      </c>
      <c r="N781">
        <v>3</v>
      </c>
      <c r="O781" s="1" t="s">
        <v>32</v>
      </c>
      <c r="P781">
        <v>3</v>
      </c>
      <c r="Q781">
        <v>0</v>
      </c>
      <c r="R781">
        <v>2</v>
      </c>
      <c r="S781">
        <v>1</v>
      </c>
      <c r="T781">
        <v>0</v>
      </c>
      <c r="U781">
        <f>IF(openpolis_patrimoni_trasparenti_anno_2014[[#This Row],[totale_730_dichiarante]]&lt;&gt;0,LOG10(openpolis_patrimoni_trasparenti_anno_2014[[#This Row],[totale_730_dichiarante]]), 0)</f>
        <v>5.0285102519926825</v>
      </c>
    </row>
    <row r="782" spans="1:21" x14ac:dyDescent="0.3">
      <c r="A782">
        <v>332906</v>
      </c>
      <c r="B782" s="1" t="s">
        <v>267</v>
      </c>
      <c r="C782" s="1" t="s">
        <v>1232</v>
      </c>
      <c r="D782" s="2">
        <v>23820</v>
      </c>
      <c r="E782" s="1" t="s">
        <v>35</v>
      </c>
      <c r="F782" s="1" t="s">
        <v>30</v>
      </c>
      <c r="G782" s="1" t="s">
        <v>24</v>
      </c>
      <c r="H782" s="1" t="s">
        <v>24</v>
      </c>
      <c r="I782" s="1" t="s">
        <v>46</v>
      </c>
      <c r="J782">
        <v>112893</v>
      </c>
      <c r="K782">
        <v>0</v>
      </c>
      <c r="L782">
        <v>0</v>
      </c>
      <c r="M782">
        <v>0</v>
      </c>
      <c r="N782">
        <v>2</v>
      </c>
      <c r="O782" s="1" t="s">
        <v>43</v>
      </c>
      <c r="P782">
        <v>2</v>
      </c>
      <c r="Q782">
        <v>0</v>
      </c>
      <c r="R782">
        <v>1</v>
      </c>
      <c r="S782">
        <v>1</v>
      </c>
      <c r="T782">
        <v>1</v>
      </c>
      <c r="U782">
        <f>IF(openpolis_patrimoni_trasparenti_anno_2014[[#This Row],[totale_730_dichiarante]]&lt;&gt;0,LOG10(openpolis_patrimoni_trasparenti_anno_2014[[#This Row],[totale_730_dichiarante]]), 0)</f>
        <v>5.0526670140629504</v>
      </c>
    </row>
    <row r="783" spans="1:21" x14ac:dyDescent="0.3">
      <c r="A783">
        <v>6887</v>
      </c>
      <c r="B783" s="1" t="s">
        <v>1233</v>
      </c>
      <c r="C783" s="1" t="s">
        <v>1234</v>
      </c>
      <c r="D783" s="2">
        <v>21855</v>
      </c>
      <c r="E783" s="1" t="s">
        <v>41</v>
      </c>
      <c r="F783" s="1" t="s">
        <v>30</v>
      </c>
      <c r="G783" s="1" t="s">
        <v>24</v>
      </c>
      <c r="H783" s="1" t="s">
        <v>24</v>
      </c>
      <c r="I783" s="1" t="s">
        <v>46</v>
      </c>
      <c r="J783">
        <v>88883</v>
      </c>
      <c r="K783">
        <v>0</v>
      </c>
      <c r="L783">
        <v>0</v>
      </c>
      <c r="M783">
        <v>0</v>
      </c>
      <c r="N783">
        <v>3</v>
      </c>
      <c r="O783" s="1" t="s">
        <v>32</v>
      </c>
      <c r="P783">
        <v>1</v>
      </c>
      <c r="Q783">
        <v>0</v>
      </c>
      <c r="R783">
        <v>1</v>
      </c>
      <c r="S783">
        <v>1</v>
      </c>
      <c r="T783">
        <v>0</v>
      </c>
      <c r="U783">
        <f>IF(openpolis_patrimoni_trasparenti_anno_2014[[#This Row],[totale_730_dichiarante]]&lt;&gt;0,LOG10(openpolis_patrimoni_trasparenti_anno_2014[[#This Row],[totale_730_dichiarante]]), 0)</f>
        <v>4.948818704590078</v>
      </c>
    </row>
    <row r="784" spans="1:21" x14ac:dyDescent="0.3">
      <c r="A784">
        <v>118748</v>
      </c>
      <c r="B784" s="1" t="s">
        <v>811</v>
      </c>
      <c r="C784" s="1" t="s">
        <v>1235</v>
      </c>
      <c r="D784" s="2">
        <v>30371</v>
      </c>
      <c r="E784" s="1" t="s">
        <v>249</v>
      </c>
      <c r="F784" s="1" t="s">
        <v>30</v>
      </c>
      <c r="G784" s="1" t="s">
        <v>24</v>
      </c>
      <c r="H784" s="1" t="s">
        <v>24</v>
      </c>
      <c r="I784" s="1" t="s">
        <v>46</v>
      </c>
      <c r="J784">
        <v>91234</v>
      </c>
      <c r="K784">
        <v>0</v>
      </c>
      <c r="L784">
        <v>0</v>
      </c>
      <c r="M784">
        <v>0</v>
      </c>
      <c r="N784">
        <v>3</v>
      </c>
      <c r="O784" s="1" t="s">
        <v>32</v>
      </c>
      <c r="P784">
        <v>0</v>
      </c>
      <c r="Q784">
        <v>0</v>
      </c>
      <c r="R784">
        <v>0</v>
      </c>
      <c r="S784">
        <v>4</v>
      </c>
      <c r="T784">
        <v>3</v>
      </c>
      <c r="U784">
        <f>IF(openpolis_patrimoni_trasparenti_anno_2014[[#This Row],[totale_730_dichiarante]]&lt;&gt;0,LOG10(openpolis_patrimoni_trasparenti_anno_2014[[#This Row],[totale_730_dichiarante]]), 0)</f>
        <v>4.9601567161862246</v>
      </c>
    </row>
    <row r="785" spans="1:21" x14ac:dyDescent="0.3">
      <c r="A785">
        <v>686744</v>
      </c>
      <c r="B785" s="1" t="s">
        <v>1236</v>
      </c>
      <c r="C785" s="1" t="s">
        <v>1237</v>
      </c>
      <c r="D785" s="2">
        <v>21898</v>
      </c>
      <c r="E785" s="1" t="s">
        <v>35</v>
      </c>
      <c r="F785" s="1" t="s">
        <v>30</v>
      </c>
      <c r="G785" s="1" t="s">
        <v>24</v>
      </c>
      <c r="H785" s="1" t="s">
        <v>24</v>
      </c>
      <c r="I785" s="1" t="s">
        <v>76</v>
      </c>
      <c r="J785">
        <v>3233190</v>
      </c>
      <c r="K785">
        <v>0</v>
      </c>
      <c r="L785">
        <v>0</v>
      </c>
      <c r="M785">
        <v>0</v>
      </c>
      <c r="N785">
        <v>3</v>
      </c>
      <c r="O785" s="1" t="s">
        <v>32</v>
      </c>
      <c r="P785">
        <v>4</v>
      </c>
      <c r="Q785">
        <v>0</v>
      </c>
      <c r="R785">
        <v>0</v>
      </c>
      <c r="S785">
        <v>1</v>
      </c>
      <c r="T785">
        <v>0</v>
      </c>
      <c r="U785">
        <f>IF(openpolis_patrimoni_trasparenti_anno_2014[[#This Row],[totale_730_dichiarante]]&lt;&gt;0,LOG10(openpolis_patrimoni_trasparenti_anno_2014[[#This Row],[totale_730_dichiarante]]), 0)</f>
        <v>6.5096312268902352</v>
      </c>
    </row>
    <row r="786" spans="1:21" x14ac:dyDescent="0.3">
      <c r="A786">
        <v>8807</v>
      </c>
      <c r="B786" s="1" t="s">
        <v>892</v>
      </c>
      <c r="C786" s="1" t="s">
        <v>1238</v>
      </c>
      <c r="D786" s="2">
        <v>22477</v>
      </c>
      <c r="E786" s="1" t="s">
        <v>49</v>
      </c>
      <c r="F786" s="1" t="s">
        <v>30</v>
      </c>
      <c r="G786" s="1" t="s">
        <v>24</v>
      </c>
      <c r="H786" s="1" t="s">
        <v>24</v>
      </c>
      <c r="I786" s="1" t="s">
        <v>200</v>
      </c>
      <c r="J786">
        <v>86137</v>
      </c>
      <c r="K786">
        <v>38271</v>
      </c>
      <c r="L786">
        <v>0</v>
      </c>
      <c r="M786">
        <v>0</v>
      </c>
      <c r="N786">
        <v>3</v>
      </c>
      <c r="O786" s="1" t="s">
        <v>32</v>
      </c>
      <c r="P786">
        <v>1</v>
      </c>
      <c r="Q786">
        <v>0</v>
      </c>
      <c r="R786">
        <v>1</v>
      </c>
      <c r="S786">
        <v>0</v>
      </c>
      <c r="T786">
        <v>0</v>
      </c>
      <c r="U786">
        <f>IF(openpolis_patrimoni_trasparenti_anno_2014[[#This Row],[totale_730_dichiarante]]&lt;&gt;0,LOG10(openpolis_patrimoni_trasparenti_anno_2014[[#This Row],[totale_730_dichiarante]]), 0)</f>
        <v>4.9351897419780784</v>
      </c>
    </row>
    <row r="787" spans="1:21" x14ac:dyDescent="0.3">
      <c r="A787">
        <v>644</v>
      </c>
      <c r="B787" s="1" t="s">
        <v>678</v>
      </c>
      <c r="C787" s="1" t="s">
        <v>1239</v>
      </c>
      <c r="D787" s="2">
        <v>26780</v>
      </c>
      <c r="E787" s="1" t="s">
        <v>35</v>
      </c>
      <c r="F787" s="1" t="s">
        <v>30</v>
      </c>
      <c r="G787" s="1" t="s">
        <v>36</v>
      </c>
      <c r="H787" s="1" t="s">
        <v>37</v>
      </c>
      <c r="I787" s="1" t="s">
        <v>430</v>
      </c>
      <c r="J787">
        <v>98471</v>
      </c>
      <c r="K787">
        <v>0</v>
      </c>
      <c r="L787">
        <v>0</v>
      </c>
      <c r="M787">
        <v>0</v>
      </c>
      <c r="N787">
        <v>3</v>
      </c>
      <c r="O787" s="1" t="s">
        <v>32</v>
      </c>
      <c r="P787">
        <v>3</v>
      </c>
      <c r="Q787">
        <v>0</v>
      </c>
      <c r="R787">
        <v>2</v>
      </c>
      <c r="S787">
        <v>0</v>
      </c>
      <c r="T787">
        <v>0</v>
      </c>
      <c r="U787">
        <f>IF(openpolis_patrimoni_trasparenti_anno_2014[[#This Row],[totale_730_dichiarante]]&lt;&gt;0,LOG10(openpolis_patrimoni_trasparenti_anno_2014[[#This Row],[totale_730_dichiarante]]), 0)</f>
        <v>4.9933083483213911</v>
      </c>
    </row>
    <row r="788" spans="1:21" x14ac:dyDescent="0.3">
      <c r="A788">
        <v>1707</v>
      </c>
      <c r="B788" s="1" t="s">
        <v>44</v>
      </c>
      <c r="C788" s="1" t="s">
        <v>82</v>
      </c>
      <c r="D788" s="2">
        <v>21189</v>
      </c>
      <c r="E788" s="1" t="s">
        <v>49</v>
      </c>
      <c r="F788" s="1" t="s">
        <v>30</v>
      </c>
      <c r="G788" s="1" t="s">
        <v>24</v>
      </c>
      <c r="H788" s="1" t="s">
        <v>24</v>
      </c>
      <c r="I788" s="1" t="s">
        <v>25</v>
      </c>
      <c r="J788">
        <v>46071</v>
      </c>
      <c r="K788">
        <v>0</v>
      </c>
      <c r="L788">
        <v>0</v>
      </c>
      <c r="M788">
        <v>0</v>
      </c>
      <c r="N788">
        <v>3</v>
      </c>
      <c r="O788" s="1" t="s">
        <v>61</v>
      </c>
      <c r="P788">
        <v>2</v>
      </c>
      <c r="Q788">
        <v>1</v>
      </c>
      <c r="R788">
        <v>2</v>
      </c>
      <c r="S788">
        <v>0</v>
      </c>
      <c r="T788">
        <v>0</v>
      </c>
      <c r="U788">
        <f>IF(openpolis_patrimoni_trasparenti_anno_2014[[#This Row],[totale_730_dichiarante]]&lt;&gt;0,LOG10(openpolis_patrimoni_trasparenti_anno_2014[[#This Row],[totale_730_dichiarante]]), 0)</f>
        <v>4.6634276389895701</v>
      </c>
    </row>
    <row r="789" spans="1:21" x14ac:dyDescent="0.3">
      <c r="A789">
        <v>6261</v>
      </c>
      <c r="B789" s="1" t="s">
        <v>1240</v>
      </c>
      <c r="C789" s="1" t="s">
        <v>1241</v>
      </c>
      <c r="D789" s="2">
        <v>27664</v>
      </c>
      <c r="E789" s="1" t="s">
        <v>35</v>
      </c>
      <c r="F789" s="1" t="s">
        <v>30</v>
      </c>
      <c r="G789" s="1" t="s">
        <v>36</v>
      </c>
      <c r="H789" s="1" t="s">
        <v>54</v>
      </c>
      <c r="I789" s="1" t="s">
        <v>115</v>
      </c>
      <c r="J789">
        <v>117217</v>
      </c>
      <c r="K789">
        <v>0</v>
      </c>
      <c r="L789">
        <v>0</v>
      </c>
      <c r="M789">
        <v>0</v>
      </c>
      <c r="N789">
        <v>3</v>
      </c>
      <c r="O789" s="1" t="s">
        <v>61</v>
      </c>
      <c r="P789">
        <v>2</v>
      </c>
      <c r="Q789">
        <v>0</v>
      </c>
      <c r="R789">
        <v>2</v>
      </c>
      <c r="S789">
        <v>3</v>
      </c>
      <c r="T789">
        <v>0</v>
      </c>
      <c r="U789">
        <f>IF(openpolis_patrimoni_trasparenti_anno_2014[[#This Row],[totale_730_dichiarante]]&lt;&gt;0,LOG10(openpolis_patrimoni_trasparenti_anno_2014[[#This Row],[totale_730_dichiarante]]), 0)</f>
        <v>5.0689906020471502</v>
      </c>
    </row>
    <row r="790" spans="1:21" x14ac:dyDescent="0.3">
      <c r="A790">
        <v>1619</v>
      </c>
      <c r="B790" s="1" t="s">
        <v>363</v>
      </c>
      <c r="C790" s="1" t="s">
        <v>1242</v>
      </c>
      <c r="D790" s="2">
        <v>22127</v>
      </c>
      <c r="E790" s="1" t="s">
        <v>29</v>
      </c>
      <c r="F790" s="1" t="s">
        <v>67</v>
      </c>
      <c r="G790" s="1" t="s">
        <v>36</v>
      </c>
      <c r="H790" s="1" t="s">
        <v>37</v>
      </c>
      <c r="I790" s="1" t="s">
        <v>69</v>
      </c>
      <c r="J790">
        <v>139302</v>
      </c>
      <c r="K790">
        <v>0</v>
      </c>
      <c r="L790">
        <v>0</v>
      </c>
      <c r="M790">
        <v>0</v>
      </c>
      <c r="N790">
        <v>3</v>
      </c>
      <c r="O790" s="1" t="s">
        <v>32</v>
      </c>
      <c r="P790">
        <v>1</v>
      </c>
      <c r="Q790">
        <v>0</v>
      </c>
      <c r="R790">
        <v>3</v>
      </c>
      <c r="S790">
        <v>2</v>
      </c>
      <c r="T790">
        <v>0</v>
      </c>
      <c r="U790">
        <f>IF(openpolis_patrimoni_trasparenti_anno_2014[[#This Row],[totale_730_dichiarante]]&lt;&gt;0,LOG10(openpolis_patrimoni_trasparenti_anno_2014[[#This Row],[totale_730_dichiarante]]), 0)</f>
        <v>5.1439573517630048</v>
      </c>
    </row>
    <row r="791" spans="1:21" x14ac:dyDescent="0.3">
      <c r="A791">
        <v>1554</v>
      </c>
      <c r="B791" s="1" t="s">
        <v>196</v>
      </c>
      <c r="C791" s="1" t="s">
        <v>1243</v>
      </c>
      <c r="D791" s="2">
        <v>20128</v>
      </c>
      <c r="E791" s="1" t="s">
        <v>49</v>
      </c>
      <c r="F791" s="1" t="s">
        <v>67</v>
      </c>
      <c r="G791" s="1" t="s">
        <v>36</v>
      </c>
      <c r="H791" s="1" t="s">
        <v>53</v>
      </c>
      <c r="I791" s="1" t="s">
        <v>284</v>
      </c>
      <c r="J791">
        <v>112661</v>
      </c>
      <c r="K791">
        <v>0</v>
      </c>
      <c r="L791">
        <v>0</v>
      </c>
      <c r="M791">
        <v>0</v>
      </c>
      <c r="N791">
        <v>3</v>
      </c>
      <c r="O791" s="1" t="s">
        <v>32</v>
      </c>
      <c r="P791">
        <v>2</v>
      </c>
      <c r="Q791">
        <v>1</v>
      </c>
      <c r="R791">
        <v>2</v>
      </c>
      <c r="S791">
        <v>0</v>
      </c>
      <c r="T791">
        <v>0</v>
      </c>
      <c r="U791">
        <f>IF(openpolis_patrimoni_trasparenti_anno_2014[[#This Row],[totale_730_dichiarante]]&lt;&gt;0,LOG10(openpolis_patrimoni_trasparenti_anno_2014[[#This Row],[totale_730_dichiarante]]), 0)</f>
        <v>5.0517736017950758</v>
      </c>
    </row>
    <row r="792" spans="1:21" x14ac:dyDescent="0.3">
      <c r="A792">
        <v>686907</v>
      </c>
      <c r="B792" s="1" t="s">
        <v>389</v>
      </c>
      <c r="C792" s="1" t="s">
        <v>1244</v>
      </c>
      <c r="D792" s="2">
        <v>24873</v>
      </c>
      <c r="E792" s="1" t="s">
        <v>35</v>
      </c>
      <c r="F792" s="1" t="s">
        <v>67</v>
      </c>
      <c r="G792" s="1" t="s">
        <v>102</v>
      </c>
      <c r="H792" s="1" t="s">
        <v>102</v>
      </c>
      <c r="I792" s="1" t="s">
        <v>94</v>
      </c>
      <c r="J792">
        <v>87294</v>
      </c>
      <c r="K792">
        <v>0</v>
      </c>
      <c r="L792">
        <v>0</v>
      </c>
      <c r="M792">
        <v>0</v>
      </c>
      <c r="N792">
        <v>3</v>
      </c>
      <c r="O792" s="1" t="s">
        <v>32</v>
      </c>
      <c r="P792">
        <v>3</v>
      </c>
      <c r="Q792">
        <v>0</v>
      </c>
      <c r="R792">
        <v>0</v>
      </c>
      <c r="S792">
        <v>1</v>
      </c>
      <c r="T792">
        <v>1</v>
      </c>
      <c r="U792">
        <f>IF(openpolis_patrimoni_trasparenti_anno_2014[[#This Row],[totale_730_dichiarante]]&lt;&gt;0,LOG10(openpolis_patrimoni_trasparenti_anno_2014[[#This Row],[totale_730_dichiarante]]), 0)</f>
        <v>4.9409843942618039</v>
      </c>
    </row>
    <row r="793" spans="1:21" x14ac:dyDescent="0.3">
      <c r="A793">
        <v>240830</v>
      </c>
      <c r="B793" s="1" t="s">
        <v>1245</v>
      </c>
      <c r="C793" s="1" t="s">
        <v>1246</v>
      </c>
      <c r="D793" s="2">
        <v>22519</v>
      </c>
      <c r="E793" s="1" t="s">
        <v>29</v>
      </c>
      <c r="F793" s="1" t="s">
        <v>67</v>
      </c>
      <c r="G793" s="1" t="s">
        <v>24</v>
      </c>
      <c r="H793" s="1" t="s">
        <v>24</v>
      </c>
      <c r="I793" s="1" t="s">
        <v>111</v>
      </c>
      <c r="J793">
        <v>96754</v>
      </c>
      <c r="K793">
        <v>0</v>
      </c>
      <c r="L793">
        <v>0</v>
      </c>
      <c r="M793">
        <v>0</v>
      </c>
      <c r="N793">
        <v>2</v>
      </c>
      <c r="O793" s="1" t="s">
        <v>43</v>
      </c>
      <c r="P793">
        <v>2</v>
      </c>
      <c r="Q793">
        <v>1</v>
      </c>
      <c r="R793">
        <v>1</v>
      </c>
      <c r="S793">
        <v>0</v>
      </c>
      <c r="T793">
        <v>0</v>
      </c>
      <c r="U793">
        <f>IF(openpolis_patrimoni_trasparenti_anno_2014[[#This Row],[totale_730_dichiarante]]&lt;&gt;0,LOG10(openpolis_patrimoni_trasparenti_anno_2014[[#This Row],[totale_730_dichiarante]]), 0)</f>
        <v>4.9856689286472067</v>
      </c>
    </row>
    <row r="794" spans="1:21" x14ac:dyDescent="0.3">
      <c r="A794">
        <v>333271</v>
      </c>
      <c r="B794" s="1" t="s">
        <v>341</v>
      </c>
      <c r="C794" s="1" t="s">
        <v>1247</v>
      </c>
      <c r="D794" s="2">
        <v>19238</v>
      </c>
      <c r="E794" s="1" t="s">
        <v>35</v>
      </c>
      <c r="F794" s="1" t="s">
        <v>67</v>
      </c>
      <c r="G794" s="1" t="s">
        <v>24</v>
      </c>
      <c r="H794" s="1" t="s">
        <v>24</v>
      </c>
      <c r="I794" s="1" t="s">
        <v>111</v>
      </c>
      <c r="J794">
        <v>89389</v>
      </c>
      <c r="K794">
        <v>47511</v>
      </c>
      <c r="L794">
        <v>0</v>
      </c>
      <c r="M794">
        <v>0</v>
      </c>
      <c r="N794">
        <v>1</v>
      </c>
      <c r="O794" s="1" t="s">
        <v>303</v>
      </c>
      <c r="P794">
        <v>4</v>
      </c>
      <c r="Q794">
        <v>0</v>
      </c>
      <c r="R794">
        <v>1</v>
      </c>
      <c r="S794">
        <v>5</v>
      </c>
      <c r="T794">
        <v>0</v>
      </c>
      <c r="U794">
        <f>IF(openpolis_patrimoni_trasparenti_anno_2014[[#This Row],[totale_730_dichiarante]]&lt;&gt;0,LOG10(openpolis_patrimoni_trasparenti_anno_2014[[#This Row],[totale_730_dichiarante]]), 0)</f>
        <v>4.9512840788269381</v>
      </c>
    </row>
    <row r="795" spans="1:21" x14ac:dyDescent="0.3">
      <c r="A795">
        <v>1639</v>
      </c>
      <c r="B795" s="1" t="s">
        <v>1248</v>
      </c>
      <c r="C795" s="1" t="s">
        <v>1249</v>
      </c>
      <c r="D795" s="2">
        <v>14862</v>
      </c>
      <c r="E795" s="1" t="s">
        <v>49</v>
      </c>
      <c r="F795" s="1" t="s">
        <v>67</v>
      </c>
      <c r="G795" s="1" t="s">
        <v>36</v>
      </c>
      <c r="H795" s="1" t="s">
        <v>37</v>
      </c>
      <c r="I795" s="1" t="s">
        <v>46</v>
      </c>
      <c r="J795">
        <v>146927</v>
      </c>
      <c r="K795">
        <v>0</v>
      </c>
      <c r="L795">
        <v>0</v>
      </c>
      <c r="M795">
        <v>0</v>
      </c>
      <c r="N795">
        <v>3</v>
      </c>
      <c r="O795" s="1" t="s">
        <v>32</v>
      </c>
      <c r="P795">
        <v>3</v>
      </c>
      <c r="Q795">
        <v>0</v>
      </c>
      <c r="R795">
        <v>2</v>
      </c>
      <c r="S795">
        <v>0</v>
      </c>
      <c r="T795">
        <v>0</v>
      </c>
      <c r="U795">
        <f>IF(openpolis_patrimoni_trasparenti_anno_2014[[#This Row],[totale_730_dichiarante]]&lt;&gt;0,LOG10(openpolis_patrimoni_trasparenti_anno_2014[[#This Row],[totale_730_dichiarante]]), 0)</f>
        <v>5.1671016111308781</v>
      </c>
    </row>
    <row r="796" spans="1:21" x14ac:dyDescent="0.3">
      <c r="A796">
        <v>1562</v>
      </c>
      <c r="B796" s="1" t="s">
        <v>276</v>
      </c>
      <c r="C796" s="1" t="s">
        <v>1250</v>
      </c>
      <c r="D796" s="2">
        <v>22561</v>
      </c>
      <c r="E796" s="1" t="s">
        <v>35</v>
      </c>
      <c r="F796" s="1" t="s">
        <v>67</v>
      </c>
      <c r="G796" s="1" t="s">
        <v>36</v>
      </c>
      <c r="H796" s="1" t="s">
        <v>37</v>
      </c>
      <c r="I796" s="1" t="s">
        <v>291</v>
      </c>
      <c r="J796">
        <v>101235</v>
      </c>
      <c r="K796">
        <v>0</v>
      </c>
      <c r="L796">
        <v>0</v>
      </c>
      <c r="M796">
        <v>0</v>
      </c>
      <c r="N796">
        <v>3</v>
      </c>
      <c r="O796" s="1" t="s">
        <v>32</v>
      </c>
      <c r="P796">
        <v>1</v>
      </c>
      <c r="Q796">
        <v>0</v>
      </c>
      <c r="R796">
        <v>1</v>
      </c>
      <c r="S796">
        <v>3</v>
      </c>
      <c r="T796">
        <v>1</v>
      </c>
      <c r="U796">
        <f>IF(openpolis_patrimoni_trasparenti_anno_2014[[#This Row],[totale_730_dichiarante]]&lt;&gt;0,LOG10(openpolis_patrimoni_trasparenti_anno_2014[[#This Row],[totale_730_dichiarante]]), 0)</f>
        <v>5.0053306871970706</v>
      </c>
    </row>
    <row r="797" spans="1:21" x14ac:dyDescent="0.3">
      <c r="A797">
        <v>687024</v>
      </c>
      <c r="B797" s="1" t="s">
        <v>467</v>
      </c>
      <c r="C797" s="1" t="s">
        <v>1251</v>
      </c>
      <c r="D797" s="2">
        <v>16438</v>
      </c>
      <c r="E797" s="1" t="s">
        <v>465</v>
      </c>
      <c r="F797" s="1" t="s">
        <v>67</v>
      </c>
      <c r="G797" s="1" t="s">
        <v>24</v>
      </c>
      <c r="H797" s="1" t="s">
        <v>24</v>
      </c>
      <c r="I797" s="1" t="s">
        <v>291</v>
      </c>
      <c r="J797">
        <v>316513</v>
      </c>
      <c r="K797">
        <v>0</v>
      </c>
      <c r="L797">
        <v>0</v>
      </c>
      <c r="M797">
        <v>0</v>
      </c>
      <c r="N797">
        <v>3</v>
      </c>
      <c r="O797" s="1" t="s">
        <v>32</v>
      </c>
      <c r="P797">
        <v>4</v>
      </c>
      <c r="Q797">
        <v>0</v>
      </c>
      <c r="R797">
        <v>0</v>
      </c>
      <c r="S797">
        <v>0</v>
      </c>
      <c r="T797">
        <v>0</v>
      </c>
      <c r="U797">
        <f>IF(openpolis_patrimoni_trasparenti_anno_2014[[#This Row],[totale_730_dichiarante]]&lt;&gt;0,LOG10(openpolis_patrimoni_trasparenti_anno_2014[[#This Row],[totale_730_dichiarante]]), 0)</f>
        <v>5.5003915523069882</v>
      </c>
    </row>
    <row r="798" spans="1:21" x14ac:dyDescent="0.3">
      <c r="A798">
        <v>128974</v>
      </c>
      <c r="B798" s="1" t="s">
        <v>1252</v>
      </c>
      <c r="C798" s="1" t="s">
        <v>1253</v>
      </c>
      <c r="D798" s="2">
        <v>26399</v>
      </c>
      <c r="E798" s="1" t="s">
        <v>49</v>
      </c>
      <c r="F798" s="1" t="s">
        <v>67</v>
      </c>
      <c r="G798" s="1" t="s">
        <v>24</v>
      </c>
      <c r="H798" s="1" t="s">
        <v>24</v>
      </c>
      <c r="I798" s="1" t="s">
        <v>286</v>
      </c>
      <c r="J798">
        <v>113640</v>
      </c>
      <c r="K798">
        <v>0</v>
      </c>
      <c r="L798">
        <v>0</v>
      </c>
      <c r="M798">
        <v>0</v>
      </c>
      <c r="N798">
        <v>3</v>
      </c>
      <c r="O798" s="1" t="s">
        <v>32</v>
      </c>
      <c r="P798">
        <v>1</v>
      </c>
      <c r="Q798">
        <v>0</v>
      </c>
      <c r="R798">
        <v>1</v>
      </c>
      <c r="S798">
        <v>4</v>
      </c>
      <c r="T798">
        <v>0</v>
      </c>
      <c r="U798">
        <f>IF(openpolis_patrimoni_trasparenti_anno_2014[[#This Row],[totale_730_dichiarante]]&lt;&gt;0,LOG10(openpolis_patrimoni_trasparenti_anno_2014[[#This Row],[totale_730_dichiarante]]), 0)</f>
        <v>5.0555312250508981</v>
      </c>
    </row>
    <row r="799" spans="1:21" x14ac:dyDescent="0.3">
      <c r="A799">
        <v>5092</v>
      </c>
      <c r="B799" s="1" t="s">
        <v>415</v>
      </c>
      <c r="C799" s="1" t="s">
        <v>144</v>
      </c>
      <c r="D799" s="2">
        <v>23776</v>
      </c>
      <c r="E799" s="1" t="s">
        <v>35</v>
      </c>
      <c r="F799" s="1" t="s">
        <v>377</v>
      </c>
      <c r="G799" s="1" t="s">
        <v>263</v>
      </c>
      <c r="H799" s="1" t="s">
        <v>25</v>
      </c>
      <c r="I799" s="1" t="s">
        <v>115</v>
      </c>
      <c r="J799">
        <v>106670</v>
      </c>
      <c r="K799">
        <v>0</v>
      </c>
      <c r="L799">
        <v>0</v>
      </c>
      <c r="M799">
        <v>0</v>
      </c>
      <c r="N799">
        <v>3</v>
      </c>
      <c r="O799" s="1" t="s">
        <v>32</v>
      </c>
      <c r="P799">
        <v>4</v>
      </c>
      <c r="Q799">
        <v>0</v>
      </c>
      <c r="R799">
        <v>0</v>
      </c>
      <c r="S799">
        <v>0</v>
      </c>
      <c r="T799">
        <v>0</v>
      </c>
      <c r="U799">
        <f>IF(openpolis_patrimoni_trasparenti_anno_2014[[#This Row],[totale_730_dichiarante]]&lt;&gt;0,LOG10(openpolis_patrimoni_trasparenti_anno_2014[[#This Row],[totale_730_dichiarante]]), 0)</f>
        <v>5.0280422950907493</v>
      </c>
    </row>
    <row r="800" spans="1:21" x14ac:dyDescent="0.3">
      <c r="A800">
        <v>687140</v>
      </c>
      <c r="B800" s="1" t="s">
        <v>1254</v>
      </c>
      <c r="C800" s="1" t="s">
        <v>1255</v>
      </c>
      <c r="D800" s="2">
        <v>18264</v>
      </c>
      <c r="E800" s="1" t="s">
        <v>156</v>
      </c>
      <c r="F800" s="1" t="s">
        <v>67</v>
      </c>
      <c r="G800" s="1" t="s">
        <v>24</v>
      </c>
      <c r="H800" s="1" t="s">
        <v>54</v>
      </c>
      <c r="I800" s="1" t="s">
        <v>345</v>
      </c>
      <c r="J800">
        <v>146433</v>
      </c>
      <c r="K800">
        <v>0</v>
      </c>
      <c r="L800">
        <v>0</v>
      </c>
      <c r="M800">
        <v>18000</v>
      </c>
      <c r="N800">
        <v>2</v>
      </c>
      <c r="O800" s="1" t="s">
        <v>43</v>
      </c>
      <c r="P800">
        <v>3</v>
      </c>
      <c r="Q800">
        <v>0</v>
      </c>
      <c r="R800">
        <v>2</v>
      </c>
      <c r="S800">
        <v>0</v>
      </c>
      <c r="T800">
        <v>0</v>
      </c>
      <c r="U800">
        <f>IF(openpolis_patrimoni_trasparenti_anno_2014[[#This Row],[totale_730_dichiarante]]&lt;&gt;0,LOG10(openpolis_patrimoni_trasparenti_anno_2014[[#This Row],[totale_730_dichiarante]]), 0)</f>
        <v>5.1656389599388373</v>
      </c>
    </row>
    <row r="801" spans="1:21" x14ac:dyDescent="0.3">
      <c r="A801">
        <v>687154</v>
      </c>
      <c r="B801" s="1" t="s">
        <v>1218</v>
      </c>
      <c r="C801" s="1" t="s">
        <v>1256</v>
      </c>
      <c r="D801" s="2">
        <v>24670</v>
      </c>
      <c r="E801" s="1" t="s">
        <v>136</v>
      </c>
      <c r="F801" s="1" t="s">
        <v>67</v>
      </c>
      <c r="G801" s="1" t="s">
        <v>24</v>
      </c>
      <c r="H801" s="1" t="s">
        <v>24</v>
      </c>
      <c r="I801" s="1" t="s">
        <v>89</v>
      </c>
      <c r="J801">
        <v>87456</v>
      </c>
      <c r="K801">
        <v>10827</v>
      </c>
      <c r="L801">
        <v>0</v>
      </c>
      <c r="M801">
        <v>0</v>
      </c>
      <c r="N801">
        <v>3</v>
      </c>
      <c r="O801" s="1" t="s">
        <v>32</v>
      </c>
      <c r="P801">
        <v>2</v>
      </c>
      <c r="Q801">
        <v>1</v>
      </c>
      <c r="R801">
        <v>1</v>
      </c>
      <c r="S801">
        <v>0</v>
      </c>
      <c r="T801">
        <v>0</v>
      </c>
      <c r="U801">
        <f>IF(openpolis_patrimoni_trasparenti_anno_2014[[#This Row],[totale_730_dichiarante]]&lt;&gt;0,LOG10(openpolis_patrimoni_trasparenti_anno_2014[[#This Row],[totale_730_dichiarante]]), 0)</f>
        <v>4.9417896100125667</v>
      </c>
    </row>
    <row r="802" spans="1:21" x14ac:dyDescent="0.3">
      <c r="A802">
        <v>274664</v>
      </c>
      <c r="B802" s="1" t="s">
        <v>192</v>
      </c>
      <c r="C802" s="1" t="s">
        <v>1257</v>
      </c>
      <c r="D802" s="2">
        <v>17584</v>
      </c>
      <c r="E802" s="1" t="s">
        <v>29</v>
      </c>
      <c r="F802" s="1" t="s">
        <v>67</v>
      </c>
      <c r="G802" s="1" t="s">
        <v>24</v>
      </c>
      <c r="H802" s="1" t="s">
        <v>24</v>
      </c>
      <c r="I802" s="1" t="s">
        <v>89</v>
      </c>
      <c r="J802">
        <v>139871</v>
      </c>
      <c r="K802">
        <v>0</v>
      </c>
      <c r="L802">
        <v>0</v>
      </c>
      <c r="M802">
        <v>0</v>
      </c>
      <c r="N802">
        <v>2</v>
      </c>
      <c r="O802" s="1" t="s">
        <v>43</v>
      </c>
      <c r="P802">
        <v>4</v>
      </c>
      <c r="Q802">
        <v>0</v>
      </c>
      <c r="R802">
        <v>0</v>
      </c>
      <c r="S802">
        <v>0</v>
      </c>
      <c r="T802">
        <v>0</v>
      </c>
      <c r="U802">
        <f>IF(openpolis_patrimoni_trasparenti_anno_2014[[#This Row],[totale_730_dichiarante]]&lt;&gt;0,LOG10(openpolis_patrimoni_trasparenti_anno_2014[[#This Row],[totale_730_dichiarante]]), 0)</f>
        <v>5.145727679856213</v>
      </c>
    </row>
    <row r="803" spans="1:21" x14ac:dyDescent="0.3">
      <c r="A803">
        <v>332745</v>
      </c>
      <c r="B803" s="1" t="s">
        <v>1258</v>
      </c>
      <c r="C803" s="1" t="s">
        <v>1259</v>
      </c>
      <c r="D803" s="2">
        <v>19683</v>
      </c>
      <c r="E803" s="1" t="s">
        <v>156</v>
      </c>
      <c r="F803" s="1" t="s">
        <v>67</v>
      </c>
      <c r="G803" s="1" t="s">
        <v>36</v>
      </c>
      <c r="H803" s="1" t="s">
        <v>298</v>
      </c>
      <c r="I803" s="1" t="s">
        <v>46</v>
      </c>
      <c r="J803">
        <v>156989</v>
      </c>
      <c r="K803">
        <v>0</v>
      </c>
      <c r="L803">
        <v>2646.9</v>
      </c>
      <c r="M803">
        <v>2646.9</v>
      </c>
      <c r="N803">
        <v>2</v>
      </c>
      <c r="O803" s="1" t="s">
        <v>43</v>
      </c>
      <c r="P803">
        <v>3</v>
      </c>
      <c r="Q803">
        <v>0</v>
      </c>
      <c r="R803">
        <v>1</v>
      </c>
      <c r="S803">
        <v>0</v>
      </c>
      <c r="T803">
        <v>0</v>
      </c>
      <c r="U803">
        <f>IF(openpolis_patrimoni_trasparenti_anno_2014[[#This Row],[totale_730_dichiarante]]&lt;&gt;0,LOG10(openpolis_patrimoni_trasparenti_anno_2014[[#This Row],[totale_730_dichiarante]]), 0)</f>
        <v>5.1958692230674233</v>
      </c>
    </row>
    <row r="804" spans="1:21" x14ac:dyDescent="0.3">
      <c r="A804">
        <v>332718</v>
      </c>
      <c r="B804" s="1" t="s">
        <v>152</v>
      </c>
      <c r="C804" s="1" t="s">
        <v>1260</v>
      </c>
      <c r="D804" s="2">
        <v>20974</v>
      </c>
      <c r="E804" s="1" t="s">
        <v>465</v>
      </c>
      <c r="F804" s="1" t="s">
        <v>30</v>
      </c>
      <c r="G804" s="1" t="s">
        <v>24</v>
      </c>
      <c r="H804" s="1" t="s">
        <v>24</v>
      </c>
      <c r="I804" s="1" t="s">
        <v>159</v>
      </c>
      <c r="J804">
        <v>166487</v>
      </c>
      <c r="K804">
        <v>0</v>
      </c>
      <c r="L804">
        <v>0</v>
      </c>
      <c r="M804">
        <v>0</v>
      </c>
      <c r="N804">
        <v>3</v>
      </c>
      <c r="O804" s="1" t="s">
        <v>32</v>
      </c>
      <c r="P804">
        <v>3</v>
      </c>
      <c r="Q804">
        <v>0</v>
      </c>
      <c r="R804">
        <v>3</v>
      </c>
      <c r="S804">
        <v>0</v>
      </c>
      <c r="T804">
        <v>0</v>
      </c>
      <c r="U804">
        <f>IF(openpolis_patrimoni_trasparenti_anno_2014[[#This Row],[totale_730_dichiarante]]&lt;&gt;0,LOG10(openpolis_patrimoni_trasparenti_anno_2014[[#This Row],[totale_730_dichiarante]]), 0)</f>
        <v>5.2213803276400332</v>
      </c>
    </row>
    <row r="805" spans="1:21" x14ac:dyDescent="0.3">
      <c r="A805">
        <v>452</v>
      </c>
      <c r="B805" s="1" t="s">
        <v>367</v>
      </c>
      <c r="C805" s="1" t="s">
        <v>1261</v>
      </c>
      <c r="D805" s="2">
        <v>22528</v>
      </c>
      <c r="E805" s="1" t="s">
        <v>29</v>
      </c>
      <c r="F805" s="1" t="s">
        <v>30</v>
      </c>
      <c r="G805" s="1" t="s">
        <v>24</v>
      </c>
      <c r="H805" s="1" t="s">
        <v>24</v>
      </c>
      <c r="I805" s="1" t="s">
        <v>111</v>
      </c>
      <c r="J805">
        <v>107198</v>
      </c>
      <c r="K805">
        <v>0</v>
      </c>
      <c r="L805">
        <v>0</v>
      </c>
      <c r="M805">
        <v>0</v>
      </c>
      <c r="N805">
        <v>3</v>
      </c>
      <c r="O805" s="1" t="s">
        <v>32</v>
      </c>
      <c r="P805">
        <v>3</v>
      </c>
      <c r="Q805">
        <v>0</v>
      </c>
      <c r="R805">
        <v>2</v>
      </c>
      <c r="S805">
        <v>0</v>
      </c>
      <c r="T805">
        <v>0</v>
      </c>
      <c r="U805">
        <f>IF(openpolis_patrimoni_trasparenti_anno_2014[[#This Row],[totale_730_dichiarante]]&lt;&gt;0,LOG10(openpolis_patrimoni_trasparenti_anno_2014[[#This Row],[totale_730_dichiarante]]), 0)</f>
        <v>5.0301866827721762</v>
      </c>
    </row>
    <row r="806" spans="1:21" x14ac:dyDescent="0.3">
      <c r="A806">
        <v>459</v>
      </c>
      <c r="B806" s="1" t="s">
        <v>559</v>
      </c>
      <c r="C806" s="1" t="s">
        <v>977</v>
      </c>
      <c r="D806" s="2">
        <v>24723</v>
      </c>
      <c r="E806" s="1" t="s">
        <v>35</v>
      </c>
      <c r="F806" s="1" t="s">
        <v>30</v>
      </c>
      <c r="G806" s="1" t="s">
        <v>36</v>
      </c>
      <c r="H806" s="1" t="s">
        <v>37</v>
      </c>
      <c r="I806" s="1" t="s">
        <v>55</v>
      </c>
      <c r="J806">
        <v>103160</v>
      </c>
      <c r="K806">
        <v>0</v>
      </c>
      <c r="L806">
        <v>0</v>
      </c>
      <c r="M806">
        <v>0</v>
      </c>
      <c r="N806">
        <v>3</v>
      </c>
      <c r="O806" s="1" t="s">
        <v>32</v>
      </c>
      <c r="P806">
        <v>4</v>
      </c>
      <c r="Q806">
        <v>0</v>
      </c>
      <c r="R806">
        <v>1</v>
      </c>
      <c r="S806">
        <v>0</v>
      </c>
      <c r="T806">
        <v>0</v>
      </c>
      <c r="U806">
        <f>IF(openpolis_patrimoni_trasparenti_anno_2014[[#This Row],[totale_730_dichiarante]]&lt;&gt;0,LOG10(openpolis_patrimoni_trasparenti_anno_2014[[#This Row],[totale_730_dichiarante]]), 0)</f>
        <v>5.0135113334658996</v>
      </c>
    </row>
    <row r="807" spans="1:21" x14ac:dyDescent="0.3">
      <c r="A807">
        <v>4409</v>
      </c>
      <c r="B807" s="1" t="s">
        <v>372</v>
      </c>
      <c r="C807" s="1" t="s">
        <v>1262</v>
      </c>
      <c r="D807" s="2">
        <v>24915</v>
      </c>
      <c r="E807" s="1" t="s">
        <v>49</v>
      </c>
      <c r="F807" s="1" t="s">
        <v>30</v>
      </c>
      <c r="G807" s="1" t="s">
        <v>25</v>
      </c>
      <c r="H807" s="1" t="s">
        <v>876</v>
      </c>
      <c r="I807" s="1" t="s">
        <v>194</v>
      </c>
      <c r="J807">
        <v>156683</v>
      </c>
      <c r="K807">
        <v>0</v>
      </c>
      <c r="L807">
        <v>0</v>
      </c>
      <c r="M807">
        <v>0</v>
      </c>
      <c r="N807">
        <v>2</v>
      </c>
      <c r="O807" s="1" t="s">
        <v>43</v>
      </c>
      <c r="P807">
        <v>8</v>
      </c>
      <c r="Q807">
        <v>0</v>
      </c>
      <c r="R807">
        <v>2</v>
      </c>
      <c r="S807">
        <v>4</v>
      </c>
      <c r="T807">
        <v>2</v>
      </c>
      <c r="U807">
        <f>IF(openpolis_patrimoni_trasparenti_anno_2014[[#This Row],[totale_730_dichiarante]]&lt;&gt;0,LOG10(openpolis_patrimoni_trasparenti_anno_2014[[#This Row],[totale_730_dichiarante]]), 0)</f>
        <v>5.1950218783658242</v>
      </c>
    </row>
    <row r="808" spans="1:21" x14ac:dyDescent="0.3">
      <c r="A808">
        <v>192</v>
      </c>
      <c r="B808" s="1" t="s">
        <v>363</v>
      </c>
      <c r="C808" s="1" t="s">
        <v>1263</v>
      </c>
      <c r="D808" s="2">
        <v>19506</v>
      </c>
      <c r="E808" s="1" t="s">
        <v>75</v>
      </c>
      <c r="F808" s="1" t="s">
        <v>67</v>
      </c>
      <c r="G808" s="1" t="s">
        <v>36</v>
      </c>
      <c r="H808" s="1" t="s">
        <v>298</v>
      </c>
      <c r="I808" s="1" t="s">
        <v>271</v>
      </c>
      <c r="J808">
        <v>111024</v>
      </c>
      <c r="K808">
        <v>0</v>
      </c>
      <c r="L808">
        <v>0</v>
      </c>
      <c r="M808">
        <v>0</v>
      </c>
      <c r="N808">
        <v>3</v>
      </c>
      <c r="O808" s="1" t="s">
        <v>32</v>
      </c>
      <c r="P808">
        <v>2</v>
      </c>
      <c r="Q808">
        <v>15</v>
      </c>
      <c r="R808">
        <v>1</v>
      </c>
      <c r="S808">
        <v>0</v>
      </c>
      <c r="T808">
        <v>0</v>
      </c>
      <c r="U808">
        <f>IF(openpolis_patrimoni_trasparenti_anno_2014[[#This Row],[totale_730_dichiarante]]&lt;&gt;0,LOG10(openpolis_patrimoni_trasparenti_anno_2014[[#This Row],[totale_730_dichiarante]]), 0)</f>
        <v>5.045416870146207</v>
      </c>
    </row>
    <row r="809" spans="1:21" x14ac:dyDescent="0.3">
      <c r="A809">
        <v>333101</v>
      </c>
      <c r="B809" s="1" t="s">
        <v>84</v>
      </c>
      <c r="C809" s="1" t="s">
        <v>1264</v>
      </c>
      <c r="D809" s="2">
        <v>20668</v>
      </c>
      <c r="E809" s="1" t="s">
        <v>35</v>
      </c>
      <c r="F809" s="1" t="s">
        <v>67</v>
      </c>
      <c r="G809" s="1" t="s">
        <v>36</v>
      </c>
      <c r="H809" s="1" t="s">
        <v>168</v>
      </c>
      <c r="I809" s="1" t="s">
        <v>286</v>
      </c>
      <c r="J809">
        <v>105430</v>
      </c>
      <c r="K809">
        <v>0</v>
      </c>
      <c r="L809">
        <v>0</v>
      </c>
      <c r="M809">
        <v>0</v>
      </c>
      <c r="N809">
        <v>3</v>
      </c>
      <c r="O809" s="1" t="s">
        <v>32</v>
      </c>
      <c r="P809">
        <v>1</v>
      </c>
      <c r="Q809">
        <v>0</v>
      </c>
      <c r="R809">
        <v>4</v>
      </c>
      <c r="S809">
        <v>1</v>
      </c>
      <c r="T809">
        <v>0</v>
      </c>
      <c r="U809">
        <f>IF(openpolis_patrimoni_trasparenti_anno_2014[[#This Row],[totale_730_dichiarante]]&lt;&gt;0,LOG10(openpolis_patrimoni_trasparenti_anno_2014[[#This Row],[totale_730_dichiarante]]), 0)</f>
        <v>5.0229642065179929</v>
      </c>
    </row>
    <row r="810" spans="1:21" x14ac:dyDescent="0.3">
      <c r="A810">
        <v>687099</v>
      </c>
      <c r="B810" s="1" t="s">
        <v>734</v>
      </c>
      <c r="C810" s="1" t="s">
        <v>1265</v>
      </c>
      <c r="D810" s="2">
        <v>26413</v>
      </c>
      <c r="E810" s="1" t="s">
        <v>49</v>
      </c>
      <c r="F810" s="1" t="s">
        <v>67</v>
      </c>
      <c r="G810" s="1" t="s">
        <v>102</v>
      </c>
      <c r="H810" s="1" t="s">
        <v>102</v>
      </c>
      <c r="I810" s="1" t="s">
        <v>115</v>
      </c>
      <c r="J810">
        <v>85449</v>
      </c>
      <c r="K810">
        <v>0</v>
      </c>
      <c r="L810">
        <v>0</v>
      </c>
      <c r="M810">
        <v>0</v>
      </c>
      <c r="N810">
        <v>2</v>
      </c>
      <c r="O810" s="1" t="s">
        <v>43</v>
      </c>
      <c r="P810">
        <v>2</v>
      </c>
      <c r="Q810">
        <v>0</v>
      </c>
      <c r="R810">
        <v>2</v>
      </c>
      <c r="S810">
        <v>1</v>
      </c>
      <c r="T810">
        <v>0</v>
      </c>
      <c r="U810">
        <f>IF(openpolis_patrimoni_trasparenti_anno_2014[[#This Row],[totale_730_dichiarante]]&lt;&gt;0,LOG10(openpolis_patrimoni_trasparenti_anno_2014[[#This Row],[totale_730_dichiarante]]), 0)</f>
        <v>4.9317069845872048</v>
      </c>
    </row>
    <row r="811" spans="1:21" x14ac:dyDescent="0.3">
      <c r="A811">
        <v>430976</v>
      </c>
      <c r="B811" s="1" t="s">
        <v>198</v>
      </c>
      <c r="C811" s="1" t="s">
        <v>1266</v>
      </c>
      <c r="D811" s="2">
        <v>25391</v>
      </c>
      <c r="E811" s="1" t="s">
        <v>156</v>
      </c>
      <c r="F811" s="1" t="s">
        <v>67</v>
      </c>
      <c r="G811" s="1" t="s">
        <v>24</v>
      </c>
      <c r="H811" s="1" t="s">
        <v>24</v>
      </c>
      <c r="I811" s="1" t="s">
        <v>111</v>
      </c>
      <c r="J811">
        <v>107574</v>
      </c>
      <c r="K811">
        <v>0</v>
      </c>
      <c r="L811">
        <v>0</v>
      </c>
      <c r="M811">
        <v>0</v>
      </c>
      <c r="N811">
        <v>2</v>
      </c>
      <c r="O811" s="1" t="s">
        <v>43</v>
      </c>
      <c r="P811">
        <v>3</v>
      </c>
      <c r="Q811">
        <v>0</v>
      </c>
      <c r="R811">
        <v>1</v>
      </c>
      <c r="S811">
        <v>0</v>
      </c>
      <c r="T811">
        <v>0</v>
      </c>
      <c r="U811">
        <f>IF(openpolis_patrimoni_trasparenti_anno_2014[[#This Row],[totale_730_dichiarante]]&lt;&gt;0,LOG10(openpolis_patrimoni_trasparenti_anno_2014[[#This Row],[totale_730_dichiarante]]), 0)</f>
        <v>5.0317073176037637</v>
      </c>
    </row>
    <row r="812" spans="1:21" x14ac:dyDescent="0.3">
      <c r="A812">
        <v>1758</v>
      </c>
      <c r="B812" s="1" t="s">
        <v>1267</v>
      </c>
      <c r="C812" s="1" t="s">
        <v>1268</v>
      </c>
      <c r="D812" s="2">
        <v>17992</v>
      </c>
      <c r="E812" s="1" t="s">
        <v>75</v>
      </c>
      <c r="F812" s="1" t="s">
        <v>67</v>
      </c>
      <c r="G812" s="1" t="s">
        <v>36</v>
      </c>
      <c r="H812" s="1" t="s">
        <v>168</v>
      </c>
      <c r="I812" s="1" t="s">
        <v>393</v>
      </c>
      <c r="J812">
        <v>100508</v>
      </c>
      <c r="K812">
        <v>0</v>
      </c>
      <c r="L812">
        <v>0</v>
      </c>
      <c r="M812">
        <v>0</v>
      </c>
      <c r="N812">
        <v>3</v>
      </c>
      <c r="O812" s="1" t="s">
        <v>32</v>
      </c>
      <c r="P812">
        <v>1</v>
      </c>
      <c r="Q812">
        <v>1</v>
      </c>
      <c r="R812">
        <v>3</v>
      </c>
      <c r="S812">
        <v>0</v>
      </c>
      <c r="T812">
        <v>0</v>
      </c>
      <c r="U812">
        <f>IF(openpolis_patrimoni_trasparenti_anno_2014[[#This Row],[totale_730_dichiarante]]&lt;&gt;0,LOG10(openpolis_patrimoni_trasparenti_anno_2014[[#This Row],[totale_730_dichiarante]]), 0)</f>
        <v>5.0022006310856595</v>
      </c>
    </row>
    <row r="813" spans="1:21" x14ac:dyDescent="0.3">
      <c r="A813">
        <v>689256</v>
      </c>
      <c r="B813" s="1" t="s">
        <v>1269</v>
      </c>
      <c r="C813" s="1" t="s">
        <v>1270</v>
      </c>
      <c r="D813" s="2">
        <v>26040</v>
      </c>
      <c r="E813" s="1" t="s">
        <v>465</v>
      </c>
      <c r="F813" s="1" t="s">
        <v>25</v>
      </c>
      <c r="G813" s="1" t="s">
        <v>25</v>
      </c>
      <c r="H813" s="1" t="s">
        <v>25</v>
      </c>
      <c r="I813" s="1" t="s">
        <v>25</v>
      </c>
      <c r="J813">
        <v>111219</v>
      </c>
      <c r="K813">
        <v>85287</v>
      </c>
      <c r="L813">
        <v>0</v>
      </c>
      <c r="M813">
        <v>0</v>
      </c>
      <c r="N813">
        <v>3</v>
      </c>
      <c r="O813" s="1" t="s">
        <v>1271</v>
      </c>
      <c r="P813">
        <v>3</v>
      </c>
      <c r="Q813">
        <v>0</v>
      </c>
      <c r="R813">
        <v>0</v>
      </c>
      <c r="S813">
        <v>0</v>
      </c>
      <c r="T813">
        <v>0</v>
      </c>
      <c r="U813">
        <f>IF(openpolis_patrimoni_trasparenti_anno_2014[[#This Row],[totale_730_dichiarante]]&lt;&gt;0,LOG10(openpolis_patrimoni_trasparenti_anno_2014[[#This Row],[totale_730_dichiarante]]), 0)</f>
        <v>5.0461789858997168</v>
      </c>
    </row>
    <row r="814" spans="1:21" x14ac:dyDescent="0.3">
      <c r="A814">
        <v>344</v>
      </c>
      <c r="B814" s="1" t="s">
        <v>1272</v>
      </c>
      <c r="C814" s="1" t="s">
        <v>1273</v>
      </c>
      <c r="D814" s="2">
        <v>26110</v>
      </c>
      <c r="E814" s="1" t="s">
        <v>22</v>
      </c>
      <c r="F814" s="1" t="s">
        <v>67</v>
      </c>
      <c r="G814" s="1" t="s">
        <v>126</v>
      </c>
      <c r="H814" s="1" t="s">
        <v>54</v>
      </c>
      <c r="I814" s="1" t="s">
        <v>286</v>
      </c>
      <c r="J814">
        <v>86044</v>
      </c>
      <c r="K814">
        <v>0</v>
      </c>
      <c r="L814">
        <v>0</v>
      </c>
      <c r="M814">
        <v>0</v>
      </c>
      <c r="N814">
        <v>3</v>
      </c>
      <c r="O814" s="1" t="s">
        <v>32</v>
      </c>
      <c r="P814">
        <v>3</v>
      </c>
      <c r="Q814">
        <v>0</v>
      </c>
      <c r="R814">
        <v>1</v>
      </c>
      <c r="S814">
        <v>0</v>
      </c>
      <c r="T814">
        <v>0</v>
      </c>
      <c r="U814">
        <f>IF(openpolis_patrimoni_trasparenti_anno_2014[[#This Row],[totale_730_dichiarante]]&lt;&gt;0,LOG10(openpolis_patrimoni_trasparenti_anno_2014[[#This Row],[totale_730_dichiarante]]), 0)</f>
        <v>4.9347205915985972</v>
      </c>
    </row>
    <row r="815" spans="1:21" x14ac:dyDescent="0.3">
      <c r="A815">
        <v>656</v>
      </c>
      <c r="B815" s="1" t="s">
        <v>734</v>
      </c>
      <c r="C815" s="1" t="s">
        <v>1274</v>
      </c>
      <c r="D815" s="2">
        <v>17440</v>
      </c>
      <c r="E815" s="1" t="s">
        <v>29</v>
      </c>
      <c r="F815" s="1" t="s">
        <v>30</v>
      </c>
      <c r="G815" s="1" t="s">
        <v>24</v>
      </c>
      <c r="H815" s="1" t="s">
        <v>24</v>
      </c>
      <c r="I815" s="1" t="s">
        <v>64</v>
      </c>
      <c r="J815">
        <v>105915</v>
      </c>
      <c r="K815">
        <v>626920</v>
      </c>
      <c r="L815">
        <v>0</v>
      </c>
      <c r="M815">
        <v>0</v>
      </c>
      <c r="N815">
        <v>1</v>
      </c>
      <c r="O815" s="1" t="s">
        <v>119</v>
      </c>
      <c r="P815">
        <v>6</v>
      </c>
      <c r="Q815">
        <v>0</v>
      </c>
      <c r="R815">
        <v>0</v>
      </c>
      <c r="S815">
        <v>0</v>
      </c>
      <c r="T815">
        <v>0</v>
      </c>
      <c r="U815">
        <f>IF(openpolis_patrimoni_trasparenti_anno_2014[[#This Row],[totale_730_dichiarante]]&lt;&gt;0,LOG10(openpolis_patrimoni_trasparenti_anno_2014[[#This Row],[totale_730_dichiarante]]), 0)</f>
        <v>5.0249574705504605</v>
      </c>
    </row>
    <row r="816" spans="1:21" x14ac:dyDescent="0.3">
      <c r="A816">
        <v>721559</v>
      </c>
      <c r="B816" s="1" t="s">
        <v>179</v>
      </c>
      <c r="C816" s="1" t="s">
        <v>1275</v>
      </c>
      <c r="D816" s="2">
        <v>20402</v>
      </c>
      <c r="E816" s="1" t="s">
        <v>35</v>
      </c>
      <c r="F816" s="1" t="s">
        <v>30</v>
      </c>
      <c r="G816" s="1" t="s">
        <v>24</v>
      </c>
      <c r="H816" s="1" t="s">
        <v>24</v>
      </c>
      <c r="I816" s="1" t="s">
        <v>46</v>
      </c>
      <c r="J816">
        <v>88023</v>
      </c>
      <c r="K816">
        <v>0</v>
      </c>
      <c r="L816">
        <v>0</v>
      </c>
      <c r="M816">
        <v>0</v>
      </c>
      <c r="N816">
        <v>3</v>
      </c>
      <c r="O816" s="1" t="s">
        <v>61</v>
      </c>
      <c r="P816">
        <v>2</v>
      </c>
      <c r="Q816">
        <v>1</v>
      </c>
      <c r="R816">
        <v>1</v>
      </c>
      <c r="S816">
        <v>0</v>
      </c>
      <c r="T816">
        <v>2</v>
      </c>
      <c r="U816">
        <f>IF(openpolis_patrimoni_trasparenti_anno_2014[[#This Row],[totale_730_dichiarante]]&lt;&gt;0,LOG10(openpolis_patrimoni_trasparenti_anno_2014[[#This Row],[totale_730_dichiarante]]), 0)</f>
        <v>4.9445961661042617</v>
      </c>
    </row>
    <row r="817" spans="1:21" x14ac:dyDescent="0.3">
      <c r="A817">
        <v>229570</v>
      </c>
      <c r="B817" s="1" t="s">
        <v>1276</v>
      </c>
      <c r="C817" s="1" t="s">
        <v>1277</v>
      </c>
      <c r="D817" s="2">
        <v>21125</v>
      </c>
      <c r="E817" s="1" t="s">
        <v>41</v>
      </c>
      <c r="F817" s="1" t="s">
        <v>67</v>
      </c>
      <c r="G817" s="1" t="s">
        <v>36</v>
      </c>
      <c r="H817" s="1" t="s">
        <v>168</v>
      </c>
      <c r="I817" s="1" t="s">
        <v>345</v>
      </c>
      <c r="J817">
        <v>166822</v>
      </c>
      <c r="K817">
        <v>0</v>
      </c>
      <c r="L817">
        <v>0</v>
      </c>
      <c r="M817">
        <v>0</v>
      </c>
      <c r="N817">
        <v>3</v>
      </c>
      <c r="O817" s="1" t="s">
        <v>32</v>
      </c>
      <c r="P817">
        <v>8</v>
      </c>
      <c r="Q817">
        <v>6</v>
      </c>
      <c r="R817">
        <v>4</v>
      </c>
      <c r="S817">
        <v>0</v>
      </c>
      <c r="T817">
        <v>0</v>
      </c>
      <c r="U817">
        <f>IF(openpolis_patrimoni_trasparenti_anno_2014[[#This Row],[totale_730_dichiarante]]&lt;&gt;0,LOG10(openpolis_patrimoni_trasparenti_anno_2014[[#This Row],[totale_730_dichiarante]]), 0)</f>
        <v>5.2222533235712989</v>
      </c>
    </row>
    <row r="818" spans="1:21" x14ac:dyDescent="0.3">
      <c r="A818">
        <v>685919</v>
      </c>
      <c r="B818" s="1" t="s">
        <v>203</v>
      </c>
      <c r="C818" s="1" t="s">
        <v>1278</v>
      </c>
      <c r="D818" s="2">
        <v>22144</v>
      </c>
      <c r="E818" s="1" t="s">
        <v>86</v>
      </c>
      <c r="F818" s="1" t="s">
        <v>30</v>
      </c>
      <c r="G818" s="1" t="s">
        <v>126</v>
      </c>
      <c r="H818" s="1" t="s">
        <v>127</v>
      </c>
      <c r="I818" s="1" t="s">
        <v>200</v>
      </c>
      <c r="J818">
        <v>95140</v>
      </c>
      <c r="K818">
        <v>0</v>
      </c>
      <c r="L818">
        <v>0</v>
      </c>
      <c r="M818">
        <v>0</v>
      </c>
      <c r="N818">
        <v>3</v>
      </c>
      <c r="O818" s="1" t="s">
        <v>32</v>
      </c>
      <c r="P818">
        <v>2</v>
      </c>
      <c r="Q818">
        <v>2</v>
      </c>
      <c r="R818">
        <v>1</v>
      </c>
      <c r="S818">
        <v>0</v>
      </c>
      <c r="T818">
        <v>0</v>
      </c>
      <c r="U818">
        <f>IF(openpolis_patrimoni_trasparenti_anno_2014[[#This Row],[totale_730_dichiarante]]&lt;&gt;0,LOG10(openpolis_patrimoni_trasparenti_anno_2014[[#This Row],[totale_730_dichiarante]]), 0)</f>
        <v>4.9783631470838827</v>
      </c>
    </row>
    <row r="819" spans="1:21" x14ac:dyDescent="0.3">
      <c r="A819">
        <v>17</v>
      </c>
      <c r="B819" s="1" t="s">
        <v>84</v>
      </c>
      <c r="C819" s="1" t="s">
        <v>1279</v>
      </c>
      <c r="D819" s="2">
        <v>23289</v>
      </c>
      <c r="E819" s="1" t="s">
        <v>35</v>
      </c>
      <c r="F819" s="1" t="s">
        <v>176</v>
      </c>
      <c r="G819" s="1" t="s">
        <v>263</v>
      </c>
      <c r="H819" s="1" t="s">
        <v>25</v>
      </c>
      <c r="I819" s="1" t="s">
        <v>38</v>
      </c>
      <c r="J819">
        <v>78230</v>
      </c>
      <c r="K819">
        <v>32896</v>
      </c>
      <c r="L819">
        <v>0</v>
      </c>
      <c r="M819">
        <v>0</v>
      </c>
      <c r="N819">
        <v>1</v>
      </c>
      <c r="O819" s="1" t="s">
        <v>1280</v>
      </c>
      <c r="P819">
        <v>5</v>
      </c>
      <c r="Q819">
        <v>0</v>
      </c>
      <c r="R819">
        <v>1</v>
      </c>
      <c r="S819">
        <v>0</v>
      </c>
      <c r="T819">
        <v>0</v>
      </c>
      <c r="U819">
        <f>IF(openpolis_patrimoni_trasparenti_anno_2014[[#This Row],[totale_730_dichiarante]]&lt;&gt;0,LOG10(openpolis_patrimoni_trasparenti_anno_2014[[#This Row],[totale_730_dichiarante]]), 0)</f>
        <v>4.8933733302460247</v>
      </c>
    </row>
    <row r="820" spans="1:21" x14ac:dyDescent="0.3">
      <c r="A820">
        <v>686131</v>
      </c>
      <c r="B820" s="1" t="s">
        <v>1281</v>
      </c>
      <c r="C820" s="1" t="s">
        <v>1282</v>
      </c>
      <c r="D820" s="2">
        <v>28953</v>
      </c>
      <c r="E820" s="1" t="s">
        <v>532</v>
      </c>
      <c r="F820" s="1" t="s">
        <v>30</v>
      </c>
      <c r="G820" s="1" t="s">
        <v>102</v>
      </c>
      <c r="H820" s="1" t="s">
        <v>102</v>
      </c>
      <c r="I820" s="1" t="s">
        <v>264</v>
      </c>
      <c r="J820">
        <v>79935</v>
      </c>
      <c r="K820">
        <v>0</v>
      </c>
      <c r="L820">
        <v>0</v>
      </c>
      <c r="M820">
        <v>0</v>
      </c>
      <c r="N820">
        <v>3</v>
      </c>
      <c r="O820" s="1" t="s">
        <v>32</v>
      </c>
      <c r="P820">
        <v>4</v>
      </c>
      <c r="Q820">
        <v>0</v>
      </c>
      <c r="R820">
        <v>0</v>
      </c>
      <c r="S820">
        <v>0</v>
      </c>
      <c r="T820">
        <v>0</v>
      </c>
      <c r="U820">
        <f>IF(openpolis_patrimoni_trasparenti_anno_2014[[#This Row],[totale_730_dichiarante]]&lt;&gt;0,LOG10(openpolis_patrimoni_trasparenti_anno_2014[[#This Row],[totale_730_dichiarante]]), 0)</f>
        <v>4.9027369792965931</v>
      </c>
    </row>
    <row r="821" spans="1:21" x14ac:dyDescent="0.3">
      <c r="A821">
        <v>20344</v>
      </c>
      <c r="B821" s="1" t="s">
        <v>1283</v>
      </c>
      <c r="C821" s="1" t="s">
        <v>1284</v>
      </c>
      <c r="D821" s="2">
        <v>29798</v>
      </c>
      <c r="E821" s="1" t="s">
        <v>63</v>
      </c>
      <c r="F821" s="1" t="s">
        <v>30</v>
      </c>
      <c r="G821" s="1" t="s">
        <v>24</v>
      </c>
      <c r="H821" s="1" t="s">
        <v>24</v>
      </c>
      <c r="I821" s="1" t="s">
        <v>132</v>
      </c>
      <c r="J821">
        <v>78363</v>
      </c>
      <c r="K821">
        <v>0</v>
      </c>
      <c r="L821">
        <v>0</v>
      </c>
      <c r="M821">
        <v>0</v>
      </c>
      <c r="N821">
        <v>3</v>
      </c>
      <c r="O821" s="1" t="s">
        <v>32</v>
      </c>
      <c r="P821">
        <v>3</v>
      </c>
      <c r="Q821">
        <v>0</v>
      </c>
      <c r="R821">
        <v>1</v>
      </c>
      <c r="S821">
        <v>0</v>
      </c>
      <c r="T821">
        <v>0</v>
      </c>
      <c r="U821">
        <f>IF(openpolis_patrimoni_trasparenti_anno_2014[[#This Row],[totale_730_dichiarante]]&lt;&gt;0,LOG10(openpolis_patrimoni_trasparenti_anno_2014[[#This Row],[totale_730_dichiarante]]), 0)</f>
        <v>4.8941110538988344</v>
      </c>
    </row>
    <row r="822" spans="1:21" x14ac:dyDescent="0.3">
      <c r="A822">
        <v>486</v>
      </c>
      <c r="B822" s="1" t="s">
        <v>1218</v>
      </c>
      <c r="C822" s="1" t="s">
        <v>1285</v>
      </c>
      <c r="D822" s="2">
        <v>17366</v>
      </c>
      <c r="E822" s="1" t="s">
        <v>41</v>
      </c>
      <c r="F822" s="1" t="s">
        <v>30</v>
      </c>
      <c r="G822" s="1" t="s">
        <v>25</v>
      </c>
      <c r="H822" s="1" t="s">
        <v>876</v>
      </c>
      <c r="I822" s="1" t="s">
        <v>64</v>
      </c>
      <c r="J822">
        <v>183154</v>
      </c>
      <c r="K822">
        <v>0</v>
      </c>
      <c r="L822">
        <v>0</v>
      </c>
      <c r="M822">
        <v>0</v>
      </c>
      <c r="N822">
        <v>3</v>
      </c>
      <c r="O822" s="1" t="s">
        <v>32</v>
      </c>
      <c r="P822">
        <v>11</v>
      </c>
      <c r="Q822">
        <v>3</v>
      </c>
      <c r="R822">
        <v>2</v>
      </c>
      <c r="S822">
        <v>3</v>
      </c>
      <c r="T822">
        <v>0</v>
      </c>
      <c r="U822">
        <f>IF(openpolis_patrimoni_trasparenti_anno_2014[[#This Row],[totale_730_dichiarante]]&lt;&gt;0,LOG10(openpolis_patrimoni_trasparenti_anno_2014[[#This Row],[totale_730_dichiarante]]), 0)</f>
        <v>5.2628164078979589</v>
      </c>
    </row>
    <row r="823" spans="1:21" x14ac:dyDescent="0.3">
      <c r="A823">
        <v>649715</v>
      </c>
      <c r="B823" s="1" t="s">
        <v>265</v>
      </c>
      <c r="C823" s="1" t="s">
        <v>1286</v>
      </c>
      <c r="D823" s="2">
        <v>14502</v>
      </c>
      <c r="E823" s="1" t="s">
        <v>35</v>
      </c>
      <c r="F823" s="1" t="s">
        <v>30</v>
      </c>
      <c r="G823" s="1" t="s">
        <v>25</v>
      </c>
      <c r="H823" s="1" t="s">
        <v>68</v>
      </c>
      <c r="I823" s="1" t="s">
        <v>38</v>
      </c>
      <c r="J823">
        <v>88057</v>
      </c>
      <c r="K823">
        <v>0</v>
      </c>
      <c r="L823">
        <v>0</v>
      </c>
      <c r="M823">
        <v>0</v>
      </c>
      <c r="N823">
        <v>3</v>
      </c>
      <c r="O823" s="1" t="s">
        <v>32</v>
      </c>
      <c r="P823">
        <v>0</v>
      </c>
      <c r="Q823">
        <v>1</v>
      </c>
      <c r="R823">
        <v>0</v>
      </c>
      <c r="S823">
        <v>0</v>
      </c>
      <c r="T823">
        <v>4</v>
      </c>
      <c r="U823">
        <f>IF(openpolis_patrimoni_trasparenti_anno_2014[[#This Row],[totale_730_dichiarante]]&lt;&gt;0,LOG10(openpolis_patrimoni_trasparenti_anno_2014[[#This Row],[totale_730_dichiarante]]), 0)</f>
        <v>4.9447638854655542</v>
      </c>
    </row>
    <row r="824" spans="1:21" x14ac:dyDescent="0.3">
      <c r="A824">
        <v>544</v>
      </c>
      <c r="B824" s="1" t="s">
        <v>346</v>
      </c>
      <c r="C824" s="1" t="s">
        <v>1287</v>
      </c>
      <c r="D824" s="2">
        <v>22986</v>
      </c>
      <c r="E824" s="1" t="s">
        <v>63</v>
      </c>
      <c r="F824" s="1" t="s">
        <v>30</v>
      </c>
      <c r="G824" s="1" t="s">
        <v>36</v>
      </c>
      <c r="H824" s="1" t="s">
        <v>37</v>
      </c>
      <c r="I824" s="1" t="s">
        <v>46</v>
      </c>
      <c r="J824">
        <v>98471</v>
      </c>
      <c r="K824">
        <v>0</v>
      </c>
      <c r="L824">
        <v>0</v>
      </c>
      <c r="M824">
        <v>0</v>
      </c>
      <c r="N824">
        <v>3</v>
      </c>
      <c r="O824" s="1" t="s">
        <v>32</v>
      </c>
      <c r="P824">
        <v>2</v>
      </c>
      <c r="Q824">
        <v>1</v>
      </c>
      <c r="R824">
        <v>0</v>
      </c>
      <c r="S824">
        <v>1</v>
      </c>
      <c r="T824">
        <v>1</v>
      </c>
      <c r="U824">
        <f>IF(openpolis_patrimoni_trasparenti_anno_2014[[#This Row],[totale_730_dichiarante]]&lt;&gt;0,LOG10(openpolis_patrimoni_trasparenti_anno_2014[[#This Row],[totale_730_dichiarante]]), 0)</f>
        <v>4.9933083483213911</v>
      </c>
    </row>
    <row r="825" spans="1:21" x14ac:dyDescent="0.3">
      <c r="A825">
        <v>686733</v>
      </c>
      <c r="B825" s="1" t="s">
        <v>1288</v>
      </c>
      <c r="C825" s="1" t="s">
        <v>1289</v>
      </c>
      <c r="D825" s="2">
        <v>27794</v>
      </c>
      <c r="E825" s="1" t="s">
        <v>49</v>
      </c>
      <c r="F825" s="1" t="s">
        <v>30</v>
      </c>
      <c r="G825" s="1" t="s">
        <v>102</v>
      </c>
      <c r="H825" s="1" t="s">
        <v>102</v>
      </c>
      <c r="I825" s="1" t="s">
        <v>173</v>
      </c>
      <c r="J825">
        <v>84855</v>
      </c>
      <c r="K825">
        <v>0</v>
      </c>
      <c r="L825">
        <v>0</v>
      </c>
      <c r="M825">
        <v>0</v>
      </c>
      <c r="N825">
        <v>3</v>
      </c>
      <c r="O825" s="1" t="s">
        <v>32</v>
      </c>
      <c r="P825">
        <v>4</v>
      </c>
      <c r="Q825">
        <v>0</v>
      </c>
      <c r="R825">
        <v>1</v>
      </c>
      <c r="S825">
        <v>0</v>
      </c>
      <c r="T825">
        <v>0</v>
      </c>
      <c r="U825">
        <f>IF(openpolis_patrimoni_trasparenti_anno_2014[[#This Row],[totale_730_dichiarante]]&lt;&gt;0,LOG10(openpolis_patrimoni_trasparenti_anno_2014[[#This Row],[totale_730_dichiarante]]), 0)</f>
        <v>4.9286774377960905</v>
      </c>
    </row>
    <row r="826" spans="1:21" x14ac:dyDescent="0.3">
      <c r="A826">
        <v>4958</v>
      </c>
      <c r="B826" s="1" t="s">
        <v>619</v>
      </c>
      <c r="C826" s="1" t="s">
        <v>1037</v>
      </c>
      <c r="D826" s="2">
        <v>23844</v>
      </c>
      <c r="E826" s="1" t="s">
        <v>227</v>
      </c>
      <c r="F826" s="1" t="s">
        <v>30</v>
      </c>
      <c r="G826" s="1" t="s">
        <v>36</v>
      </c>
      <c r="H826" s="1" t="s">
        <v>37</v>
      </c>
      <c r="I826" s="1" t="s">
        <v>76</v>
      </c>
      <c r="J826">
        <v>135989</v>
      </c>
      <c r="K826">
        <v>0</v>
      </c>
      <c r="L826">
        <v>0</v>
      </c>
      <c r="M826">
        <v>0</v>
      </c>
      <c r="N826">
        <v>2</v>
      </c>
      <c r="O826" s="1" t="s">
        <v>43</v>
      </c>
      <c r="P826">
        <v>13</v>
      </c>
      <c r="Q826">
        <v>0</v>
      </c>
      <c r="R826">
        <v>1</v>
      </c>
      <c r="S826">
        <v>2</v>
      </c>
      <c r="T826">
        <v>0</v>
      </c>
      <c r="U826">
        <f>IF(openpolis_patrimoni_trasparenti_anno_2014[[#This Row],[totale_730_dichiarante]]&lt;&gt;0,LOG10(openpolis_patrimoni_trasparenti_anno_2014[[#This Row],[totale_730_dichiarante]]), 0)</f>
        <v>5.1335037801900079</v>
      </c>
    </row>
    <row r="827" spans="1:21" x14ac:dyDescent="0.3">
      <c r="A827">
        <v>687460</v>
      </c>
      <c r="B827" s="1" t="s">
        <v>1290</v>
      </c>
      <c r="C827" s="1" t="s">
        <v>1291</v>
      </c>
      <c r="D827" s="2">
        <v>26625</v>
      </c>
      <c r="E827" s="1" t="s">
        <v>49</v>
      </c>
      <c r="F827" s="1" t="s">
        <v>30</v>
      </c>
      <c r="G827" s="1" t="s">
        <v>126</v>
      </c>
      <c r="H827" s="1" t="s">
        <v>24</v>
      </c>
      <c r="I827" s="1" t="s">
        <v>50</v>
      </c>
      <c r="J827">
        <v>79529</v>
      </c>
      <c r="K827">
        <v>0</v>
      </c>
      <c r="L827">
        <v>0</v>
      </c>
      <c r="M827">
        <v>0</v>
      </c>
      <c r="N827">
        <v>3</v>
      </c>
      <c r="O827" s="1" t="s">
        <v>32</v>
      </c>
      <c r="P827">
        <v>1</v>
      </c>
      <c r="Q827">
        <v>0</v>
      </c>
      <c r="R827">
        <v>2</v>
      </c>
      <c r="S827">
        <v>0</v>
      </c>
      <c r="T827">
        <v>0</v>
      </c>
      <c r="U827">
        <f>IF(openpolis_patrimoni_trasparenti_anno_2014[[#This Row],[totale_730_dichiarante]]&lt;&gt;0,LOG10(openpolis_patrimoni_trasparenti_anno_2014[[#This Row],[totale_730_dichiarante]]), 0)</f>
        <v>4.9005255216554175</v>
      </c>
    </row>
    <row r="828" spans="1:21" x14ac:dyDescent="0.3">
      <c r="A828">
        <v>687590</v>
      </c>
      <c r="B828" s="1" t="s">
        <v>310</v>
      </c>
      <c r="C828" s="1" t="s">
        <v>1292</v>
      </c>
      <c r="D828" s="2">
        <v>20335</v>
      </c>
      <c r="E828" s="1" t="s">
        <v>136</v>
      </c>
      <c r="F828" s="1" t="s">
        <v>30</v>
      </c>
      <c r="G828" s="1" t="s">
        <v>25</v>
      </c>
      <c r="H828" s="1" t="s">
        <v>97</v>
      </c>
      <c r="I828" s="1" t="s">
        <v>430</v>
      </c>
      <c r="J828">
        <v>124615.4</v>
      </c>
      <c r="K828">
        <v>0</v>
      </c>
      <c r="L828">
        <v>0</v>
      </c>
      <c r="M828">
        <v>0</v>
      </c>
      <c r="N828">
        <v>3</v>
      </c>
      <c r="O828" s="1" t="s">
        <v>32</v>
      </c>
      <c r="P828">
        <v>1</v>
      </c>
      <c r="Q828">
        <v>0</v>
      </c>
      <c r="R828">
        <v>0</v>
      </c>
      <c r="S828">
        <v>3</v>
      </c>
      <c r="T828">
        <v>1</v>
      </c>
      <c r="U828">
        <f>IF(openpolis_patrimoni_trasparenti_anno_2014[[#This Row],[totale_730_dichiarante]]&lt;&gt;0,LOG10(openpolis_patrimoni_trasparenti_anno_2014[[#This Row],[totale_730_dichiarante]]), 0)</f>
        <v>5.0955717158523939</v>
      </c>
    </row>
    <row r="829" spans="1:21" x14ac:dyDescent="0.3">
      <c r="A829">
        <v>5086</v>
      </c>
      <c r="B829" s="1" t="s">
        <v>211</v>
      </c>
      <c r="C829" s="1" t="s">
        <v>1293</v>
      </c>
      <c r="D829" s="2">
        <v>19094</v>
      </c>
      <c r="E829" s="1" t="s">
        <v>49</v>
      </c>
      <c r="F829" s="1" t="s">
        <v>30</v>
      </c>
      <c r="G829" s="1" t="s">
        <v>167</v>
      </c>
      <c r="H829" s="1" t="s">
        <v>168</v>
      </c>
      <c r="I829" s="1" t="s">
        <v>115</v>
      </c>
      <c r="J829">
        <v>118258</v>
      </c>
      <c r="K829">
        <v>0</v>
      </c>
      <c r="L829">
        <v>0</v>
      </c>
      <c r="M829">
        <v>0</v>
      </c>
      <c r="N829">
        <v>3</v>
      </c>
      <c r="O829" s="1" t="s">
        <v>32</v>
      </c>
      <c r="P829">
        <v>5</v>
      </c>
      <c r="Q829">
        <v>0</v>
      </c>
      <c r="R829">
        <v>0</v>
      </c>
      <c r="S829">
        <v>0</v>
      </c>
      <c r="T829">
        <v>0</v>
      </c>
      <c r="U829">
        <f>IF(openpolis_patrimoni_trasparenti_anno_2014[[#This Row],[totale_730_dichiarante]]&lt;&gt;0,LOG10(openpolis_patrimoni_trasparenti_anno_2014[[#This Row],[totale_730_dichiarante]]), 0)</f>
        <v>5.0728305298608829</v>
      </c>
    </row>
    <row r="830" spans="1:21" x14ac:dyDescent="0.3">
      <c r="A830">
        <v>85079</v>
      </c>
      <c r="B830" s="1" t="s">
        <v>84</v>
      </c>
      <c r="C830" s="1" t="s">
        <v>1294</v>
      </c>
      <c r="D830" s="2">
        <v>20876</v>
      </c>
      <c r="E830" s="1" t="s">
        <v>49</v>
      </c>
      <c r="F830" s="1" t="s">
        <v>30</v>
      </c>
      <c r="G830" s="1" t="s">
        <v>24</v>
      </c>
      <c r="H830" s="1" t="s">
        <v>24</v>
      </c>
      <c r="I830" s="1" t="s">
        <v>111</v>
      </c>
      <c r="J830">
        <v>75792</v>
      </c>
      <c r="K830">
        <v>0</v>
      </c>
      <c r="L830">
        <v>0</v>
      </c>
      <c r="M830">
        <v>0</v>
      </c>
      <c r="N830">
        <v>3</v>
      </c>
      <c r="O830" s="1" t="s">
        <v>61</v>
      </c>
      <c r="P830">
        <v>3</v>
      </c>
      <c r="Q830">
        <v>0</v>
      </c>
      <c r="R830">
        <v>1</v>
      </c>
      <c r="S830">
        <v>0</v>
      </c>
      <c r="T830">
        <v>0</v>
      </c>
      <c r="U830">
        <f>IF(openpolis_patrimoni_trasparenti_anno_2014[[#This Row],[totale_730_dichiarante]]&lt;&gt;0,LOG10(openpolis_patrimoni_trasparenti_anno_2014[[#This Row],[totale_730_dichiarante]]), 0)</f>
        <v>4.8796233673838811</v>
      </c>
    </row>
    <row r="831" spans="1:21" x14ac:dyDescent="0.3">
      <c r="A831">
        <v>9339</v>
      </c>
      <c r="B831" s="1" t="s">
        <v>44</v>
      </c>
      <c r="C831" s="1" t="s">
        <v>1295</v>
      </c>
      <c r="D831" s="2">
        <v>23542</v>
      </c>
      <c r="E831" s="1" t="s">
        <v>146</v>
      </c>
      <c r="F831" s="1" t="s">
        <v>67</v>
      </c>
      <c r="G831" s="1" t="s">
        <v>53</v>
      </c>
      <c r="H831" s="1" t="s">
        <v>53</v>
      </c>
      <c r="I831" s="1" t="s">
        <v>271</v>
      </c>
      <c r="J831">
        <v>92176</v>
      </c>
      <c r="K831">
        <v>0</v>
      </c>
      <c r="L831">
        <v>0</v>
      </c>
      <c r="M831">
        <v>0</v>
      </c>
      <c r="N831">
        <v>3</v>
      </c>
      <c r="O831" s="1" t="s">
        <v>32</v>
      </c>
      <c r="P831">
        <v>3</v>
      </c>
      <c r="Q831">
        <v>0</v>
      </c>
      <c r="R831">
        <v>1</v>
      </c>
      <c r="S831">
        <v>0</v>
      </c>
      <c r="T831">
        <v>0</v>
      </c>
      <c r="U831">
        <f>IF(openpolis_patrimoni_trasparenti_anno_2014[[#This Row],[totale_730_dichiarante]]&lt;&gt;0,LOG10(openpolis_patrimoni_trasparenti_anno_2014[[#This Row],[totale_730_dichiarante]]), 0)</f>
        <v>4.9646178578824518</v>
      </c>
    </row>
    <row r="832" spans="1:21" x14ac:dyDescent="0.3">
      <c r="A832">
        <v>686848</v>
      </c>
      <c r="B832" s="1" t="s">
        <v>51</v>
      </c>
      <c r="C832" s="1" t="s">
        <v>1296</v>
      </c>
      <c r="D832" s="2">
        <v>22458</v>
      </c>
      <c r="E832" s="1" t="s">
        <v>41</v>
      </c>
      <c r="F832" s="1" t="s">
        <v>67</v>
      </c>
      <c r="G832" s="1" t="s">
        <v>24</v>
      </c>
      <c r="H832" s="1" t="s">
        <v>24</v>
      </c>
      <c r="I832" s="1" t="s">
        <v>271</v>
      </c>
      <c r="J832">
        <v>251270</v>
      </c>
      <c r="K832">
        <v>0</v>
      </c>
      <c r="L832">
        <v>0</v>
      </c>
      <c r="M832">
        <v>0</v>
      </c>
      <c r="N832">
        <v>3</v>
      </c>
      <c r="O832" s="1" t="s">
        <v>32</v>
      </c>
      <c r="P832">
        <v>0</v>
      </c>
      <c r="Q832">
        <v>0</v>
      </c>
      <c r="R832">
        <v>3</v>
      </c>
      <c r="S832">
        <v>1</v>
      </c>
      <c r="T832">
        <v>2</v>
      </c>
      <c r="U832">
        <f>IF(openpolis_patrimoni_trasparenti_anno_2014[[#This Row],[totale_730_dichiarante]]&lt;&gt;0,LOG10(openpolis_patrimoni_trasparenti_anno_2014[[#This Row],[totale_730_dichiarante]]), 0)</f>
        <v>5.400140639757697</v>
      </c>
    </row>
    <row r="833" spans="1:21" x14ac:dyDescent="0.3">
      <c r="A833">
        <v>570842</v>
      </c>
      <c r="B833" s="1" t="s">
        <v>457</v>
      </c>
      <c r="C833" s="1" t="s">
        <v>1297</v>
      </c>
      <c r="D833" s="2">
        <v>25744</v>
      </c>
      <c r="E833" s="1" t="s">
        <v>136</v>
      </c>
      <c r="F833" s="1" t="s">
        <v>67</v>
      </c>
      <c r="G833" s="1" t="s">
        <v>53</v>
      </c>
      <c r="H833" s="1" t="s">
        <v>54</v>
      </c>
      <c r="I833" s="1" t="s">
        <v>94</v>
      </c>
      <c r="J833">
        <v>92060</v>
      </c>
      <c r="K833">
        <v>0</v>
      </c>
      <c r="L833">
        <v>0</v>
      </c>
      <c r="M833">
        <v>0</v>
      </c>
      <c r="N833">
        <v>3</v>
      </c>
      <c r="O833" s="1" t="s">
        <v>32</v>
      </c>
      <c r="P833">
        <v>2</v>
      </c>
      <c r="Q833">
        <v>0</v>
      </c>
      <c r="R833">
        <v>1</v>
      </c>
      <c r="S833">
        <v>1</v>
      </c>
      <c r="T833">
        <v>0</v>
      </c>
      <c r="U833">
        <f>IF(openpolis_patrimoni_trasparenti_anno_2014[[#This Row],[totale_730_dichiarante]]&lt;&gt;0,LOG10(openpolis_patrimoni_trasparenti_anno_2014[[#This Row],[totale_730_dichiarante]]), 0)</f>
        <v>4.9640709705579553</v>
      </c>
    </row>
    <row r="834" spans="1:21" x14ac:dyDescent="0.3">
      <c r="A834">
        <v>686973</v>
      </c>
      <c r="B834" s="1" t="s">
        <v>688</v>
      </c>
      <c r="C834" s="1" t="s">
        <v>1298</v>
      </c>
      <c r="D834" s="2">
        <v>25239</v>
      </c>
      <c r="E834" s="1" t="s">
        <v>49</v>
      </c>
      <c r="F834" s="1" t="s">
        <v>67</v>
      </c>
      <c r="G834" s="1" t="s">
        <v>102</v>
      </c>
      <c r="H834" s="1" t="s">
        <v>54</v>
      </c>
      <c r="I834" s="1" t="s">
        <v>46</v>
      </c>
      <c r="J834">
        <v>89112</v>
      </c>
      <c r="K834">
        <v>23918</v>
      </c>
      <c r="L834">
        <v>0</v>
      </c>
      <c r="M834">
        <v>0</v>
      </c>
      <c r="N834">
        <v>3</v>
      </c>
      <c r="O834" s="1" t="s">
        <v>32</v>
      </c>
      <c r="P834">
        <v>1</v>
      </c>
      <c r="Q834">
        <v>1</v>
      </c>
      <c r="R834">
        <v>1</v>
      </c>
      <c r="S834">
        <v>0</v>
      </c>
      <c r="T834">
        <v>0</v>
      </c>
      <c r="U834">
        <f>IF(openpolis_patrimoni_trasparenti_anno_2014[[#This Row],[totale_730_dichiarante]]&lt;&gt;0,LOG10(openpolis_patrimoni_trasparenti_anno_2014[[#This Row],[totale_730_dichiarante]]), 0)</f>
        <v>4.9499361909377653</v>
      </c>
    </row>
    <row r="835" spans="1:21" x14ac:dyDescent="0.3">
      <c r="A835">
        <v>241490</v>
      </c>
      <c r="B835" s="1" t="s">
        <v>656</v>
      </c>
      <c r="C835" s="1" t="s">
        <v>1299</v>
      </c>
      <c r="D835" s="2">
        <v>20312</v>
      </c>
      <c r="E835" s="1" t="s">
        <v>136</v>
      </c>
      <c r="F835" s="1" t="s">
        <v>67</v>
      </c>
      <c r="G835" s="1" t="s">
        <v>24</v>
      </c>
      <c r="H835" s="1" t="s">
        <v>24</v>
      </c>
      <c r="I835" s="1" t="s">
        <v>46</v>
      </c>
      <c r="J835">
        <v>114032</v>
      </c>
      <c r="K835">
        <v>71314</v>
      </c>
      <c r="L835">
        <v>0</v>
      </c>
      <c r="M835">
        <v>0</v>
      </c>
      <c r="N835">
        <v>3</v>
      </c>
      <c r="O835" s="1" t="s">
        <v>32</v>
      </c>
      <c r="P835">
        <v>1</v>
      </c>
      <c r="Q835">
        <v>2</v>
      </c>
      <c r="R835">
        <v>1</v>
      </c>
      <c r="S835">
        <v>0</v>
      </c>
      <c r="T835">
        <v>0</v>
      </c>
      <c r="U835">
        <f>IF(openpolis_patrimoni_trasparenti_anno_2014[[#This Row],[totale_730_dichiarante]]&lt;&gt;0,LOG10(openpolis_patrimoni_trasparenti_anno_2014[[#This Row],[totale_730_dichiarante]]), 0)</f>
        <v>5.0570267414528782</v>
      </c>
    </row>
    <row r="836" spans="1:21" x14ac:dyDescent="0.3">
      <c r="A836">
        <v>687006</v>
      </c>
      <c r="B836" s="1" t="s">
        <v>1300</v>
      </c>
      <c r="C836" s="1" t="s">
        <v>1301</v>
      </c>
      <c r="D836" s="2">
        <v>24221</v>
      </c>
      <c r="E836" s="1" t="s">
        <v>75</v>
      </c>
      <c r="F836" s="1" t="s">
        <v>67</v>
      </c>
      <c r="G836" s="1" t="s">
        <v>102</v>
      </c>
      <c r="H836" s="1" t="s">
        <v>102</v>
      </c>
      <c r="I836" s="1" t="s">
        <v>58</v>
      </c>
      <c r="J836">
        <v>93089</v>
      </c>
      <c r="K836">
        <v>0</v>
      </c>
      <c r="L836">
        <v>0</v>
      </c>
      <c r="M836">
        <v>0</v>
      </c>
      <c r="N836">
        <v>3</v>
      </c>
      <c r="O836" s="1" t="s">
        <v>32</v>
      </c>
      <c r="P836">
        <v>2</v>
      </c>
      <c r="Q836">
        <v>1</v>
      </c>
      <c r="R836">
        <v>1</v>
      </c>
      <c r="S836">
        <v>0</v>
      </c>
      <c r="T836">
        <v>0</v>
      </c>
      <c r="U836">
        <f>IF(openpolis_patrimoni_trasparenti_anno_2014[[#This Row],[totale_730_dichiarante]]&lt;&gt;0,LOG10(openpolis_patrimoni_trasparenti_anno_2014[[#This Row],[totale_730_dichiarante]]), 0)</f>
        <v>4.968898364960455</v>
      </c>
    </row>
    <row r="837" spans="1:21" x14ac:dyDescent="0.3">
      <c r="A837">
        <v>7157</v>
      </c>
      <c r="B837" s="1" t="s">
        <v>778</v>
      </c>
      <c r="C837" s="1" t="s">
        <v>1302</v>
      </c>
      <c r="D837" s="2">
        <v>21919</v>
      </c>
      <c r="E837" s="1" t="s">
        <v>49</v>
      </c>
      <c r="F837" s="1" t="s">
        <v>67</v>
      </c>
      <c r="G837" s="1" t="s">
        <v>24</v>
      </c>
      <c r="H837" s="1" t="s">
        <v>24</v>
      </c>
      <c r="I837" s="1" t="s">
        <v>76</v>
      </c>
      <c r="J837">
        <v>90056</v>
      </c>
      <c r="K837">
        <v>0</v>
      </c>
      <c r="L837">
        <v>0</v>
      </c>
      <c r="M837">
        <v>0</v>
      </c>
      <c r="N837">
        <v>3</v>
      </c>
      <c r="O837" s="1" t="s">
        <v>32</v>
      </c>
      <c r="P837">
        <v>0</v>
      </c>
      <c r="Q837">
        <v>1</v>
      </c>
      <c r="R837">
        <v>1</v>
      </c>
      <c r="S837">
        <v>3</v>
      </c>
      <c r="T837">
        <v>0</v>
      </c>
      <c r="U837">
        <f>IF(openpolis_patrimoni_trasparenti_anno_2014[[#This Row],[totale_730_dichiarante]]&lt;&gt;0,LOG10(openpolis_patrimoni_trasparenti_anno_2014[[#This Row],[totale_730_dichiarante]]), 0)</f>
        <v>4.954512653080978</v>
      </c>
    </row>
    <row r="838" spans="1:21" x14ac:dyDescent="0.3">
      <c r="A838">
        <v>675</v>
      </c>
      <c r="B838" s="1" t="s">
        <v>217</v>
      </c>
      <c r="C838" s="1" t="s">
        <v>1303</v>
      </c>
      <c r="D838" s="2">
        <v>17585</v>
      </c>
      <c r="E838" s="1" t="s">
        <v>307</v>
      </c>
      <c r="F838" s="1" t="s">
        <v>67</v>
      </c>
      <c r="G838" s="1" t="s">
        <v>36</v>
      </c>
      <c r="H838" s="1" t="s">
        <v>37</v>
      </c>
      <c r="I838" s="1" t="s">
        <v>76</v>
      </c>
      <c r="J838">
        <v>105270</v>
      </c>
      <c r="K838">
        <v>0</v>
      </c>
      <c r="L838">
        <v>0</v>
      </c>
      <c r="M838">
        <v>0</v>
      </c>
      <c r="N838">
        <v>3</v>
      </c>
      <c r="O838" s="1" t="s">
        <v>32</v>
      </c>
      <c r="P838">
        <v>2</v>
      </c>
      <c r="Q838">
        <v>1</v>
      </c>
      <c r="R838">
        <v>1</v>
      </c>
      <c r="S838">
        <v>0</v>
      </c>
      <c r="T838">
        <v>0</v>
      </c>
      <c r="U838">
        <f>IF(openpolis_patrimoni_trasparenti_anno_2014[[#This Row],[totale_730_dichiarante]]&lt;&gt;0,LOG10(openpolis_patrimoni_trasparenti_anno_2014[[#This Row],[totale_730_dichiarante]]), 0)</f>
        <v>5.022304622935069</v>
      </c>
    </row>
    <row r="839" spans="1:21" x14ac:dyDescent="0.3">
      <c r="A839">
        <v>121854</v>
      </c>
      <c r="B839" s="1" t="s">
        <v>1304</v>
      </c>
      <c r="C839" s="1" t="s">
        <v>1305</v>
      </c>
      <c r="D839" s="2">
        <v>25563</v>
      </c>
      <c r="E839" s="1" t="s">
        <v>22</v>
      </c>
      <c r="F839" s="1" t="s">
        <v>67</v>
      </c>
      <c r="G839" s="1" t="s">
        <v>36</v>
      </c>
      <c r="H839" s="1" t="s">
        <v>314</v>
      </c>
      <c r="I839" s="1" t="s">
        <v>42</v>
      </c>
      <c r="J839">
        <v>100769</v>
      </c>
      <c r="K839">
        <v>0</v>
      </c>
      <c r="L839">
        <v>0</v>
      </c>
      <c r="M839">
        <v>0</v>
      </c>
      <c r="N839">
        <v>2</v>
      </c>
      <c r="O839" s="1" t="s">
        <v>43</v>
      </c>
      <c r="P839">
        <v>0</v>
      </c>
      <c r="Q839">
        <v>0</v>
      </c>
      <c r="R839">
        <v>6</v>
      </c>
      <c r="S839">
        <v>0</v>
      </c>
      <c r="T839">
        <v>0</v>
      </c>
      <c r="U839">
        <f>IF(openpolis_patrimoni_trasparenti_anno_2014[[#This Row],[totale_730_dichiarante]]&lt;&gt;0,LOG10(openpolis_patrimoni_trasparenti_anno_2014[[#This Row],[totale_730_dichiarante]]), 0)</f>
        <v>5.0033269487802725</v>
      </c>
    </row>
    <row r="840" spans="1:21" x14ac:dyDescent="0.3">
      <c r="A840">
        <v>4590</v>
      </c>
      <c r="B840" s="1" t="s">
        <v>1306</v>
      </c>
      <c r="C840" s="1" t="s">
        <v>1307</v>
      </c>
      <c r="D840" s="2">
        <v>19628</v>
      </c>
      <c r="E840" s="1" t="s">
        <v>140</v>
      </c>
      <c r="F840" s="1" t="s">
        <v>67</v>
      </c>
      <c r="G840" s="1" t="s">
        <v>93</v>
      </c>
      <c r="H840" s="1" t="s">
        <v>93</v>
      </c>
      <c r="I840" s="1" t="s">
        <v>271</v>
      </c>
      <c r="J840">
        <v>114344</v>
      </c>
      <c r="K840">
        <v>0</v>
      </c>
      <c r="L840">
        <v>0</v>
      </c>
      <c r="M840">
        <v>0</v>
      </c>
      <c r="N840">
        <v>3</v>
      </c>
      <c r="O840" s="1" t="s">
        <v>32</v>
      </c>
      <c r="P840">
        <v>1</v>
      </c>
      <c r="Q840">
        <v>0</v>
      </c>
      <c r="R840">
        <v>2</v>
      </c>
      <c r="S840">
        <v>1</v>
      </c>
      <c r="T840">
        <v>1</v>
      </c>
      <c r="U840">
        <f>IF(openpolis_patrimoni_trasparenti_anno_2014[[#This Row],[totale_730_dichiarante]]&lt;&gt;0,LOG10(openpolis_patrimoni_trasparenti_anno_2014[[#This Row],[totale_730_dichiarante]]), 0)</f>
        <v>5.0582133807026555</v>
      </c>
    </row>
    <row r="841" spans="1:21" x14ac:dyDescent="0.3">
      <c r="A841">
        <v>654</v>
      </c>
      <c r="B841" s="1" t="s">
        <v>196</v>
      </c>
      <c r="C841" s="1" t="s">
        <v>1308</v>
      </c>
      <c r="D841" s="2">
        <v>22305</v>
      </c>
      <c r="E841" s="1" t="s">
        <v>35</v>
      </c>
      <c r="F841" s="1" t="s">
        <v>30</v>
      </c>
      <c r="G841" s="1" t="s">
        <v>36</v>
      </c>
      <c r="H841" s="1" t="s">
        <v>168</v>
      </c>
      <c r="I841" s="1" t="s">
        <v>111</v>
      </c>
      <c r="J841">
        <v>99452</v>
      </c>
      <c r="K841">
        <v>0</v>
      </c>
      <c r="L841">
        <v>0</v>
      </c>
      <c r="M841">
        <v>0</v>
      </c>
      <c r="N841">
        <v>3</v>
      </c>
      <c r="O841" s="1" t="s">
        <v>32</v>
      </c>
      <c r="P841">
        <v>1</v>
      </c>
      <c r="Q841">
        <v>0</v>
      </c>
      <c r="R841">
        <v>2</v>
      </c>
      <c r="S841">
        <v>0</v>
      </c>
      <c r="T841">
        <v>0</v>
      </c>
      <c r="U841">
        <f>IF(openpolis_patrimoni_trasparenti_anno_2014[[#This Row],[totale_730_dichiarante]]&lt;&gt;0,LOG10(openpolis_patrimoni_trasparenti_anno_2014[[#This Row],[totale_730_dichiarante]]), 0)</f>
        <v>4.9976135212988657</v>
      </c>
    </row>
    <row r="842" spans="1:21" x14ac:dyDescent="0.3">
      <c r="A842">
        <v>686714</v>
      </c>
      <c r="B842" s="1" t="s">
        <v>1309</v>
      </c>
      <c r="C842" s="1" t="s">
        <v>1310</v>
      </c>
      <c r="D842" s="2">
        <v>28502</v>
      </c>
      <c r="E842" s="1" t="s">
        <v>29</v>
      </c>
      <c r="F842" s="1" t="s">
        <v>30</v>
      </c>
      <c r="G842" s="1" t="s">
        <v>102</v>
      </c>
      <c r="H842" s="1" t="s">
        <v>54</v>
      </c>
      <c r="I842" s="1" t="s">
        <v>46</v>
      </c>
      <c r="J842">
        <v>79788</v>
      </c>
      <c r="K842">
        <v>0</v>
      </c>
      <c r="L842">
        <v>0</v>
      </c>
      <c r="M842">
        <v>0</v>
      </c>
      <c r="N842">
        <v>2</v>
      </c>
      <c r="O842" s="1" t="s">
        <v>43</v>
      </c>
      <c r="P842">
        <v>3</v>
      </c>
      <c r="Q842">
        <v>0</v>
      </c>
      <c r="R842">
        <v>0</v>
      </c>
      <c r="S842">
        <v>0</v>
      </c>
      <c r="T842">
        <v>0</v>
      </c>
      <c r="U842">
        <f>IF(openpolis_patrimoni_trasparenti_anno_2014[[#This Row],[totale_730_dichiarante]]&lt;&gt;0,LOG10(openpolis_patrimoni_trasparenti_anno_2014[[#This Row],[totale_730_dichiarante]]), 0)</f>
        <v>4.9019375789990152</v>
      </c>
    </row>
    <row r="843" spans="1:21" x14ac:dyDescent="0.3">
      <c r="A843">
        <v>720</v>
      </c>
      <c r="B843" s="1" t="s">
        <v>183</v>
      </c>
      <c r="C843" s="1" t="s">
        <v>1311</v>
      </c>
      <c r="D843" s="2">
        <v>22044</v>
      </c>
      <c r="E843" s="1" t="s">
        <v>22</v>
      </c>
      <c r="F843" s="1" t="s">
        <v>30</v>
      </c>
      <c r="G843" s="1" t="s">
        <v>24</v>
      </c>
      <c r="H843" s="1" t="s">
        <v>24</v>
      </c>
      <c r="I843" s="1" t="s">
        <v>173</v>
      </c>
      <c r="J843">
        <v>127519</v>
      </c>
      <c r="K843">
        <v>0</v>
      </c>
      <c r="L843">
        <v>0</v>
      </c>
      <c r="M843">
        <v>0</v>
      </c>
      <c r="N843">
        <v>3</v>
      </c>
      <c r="O843" s="1" t="s">
        <v>32</v>
      </c>
      <c r="P843">
        <v>3</v>
      </c>
      <c r="Q843">
        <v>0</v>
      </c>
      <c r="R843">
        <v>1</v>
      </c>
      <c r="S843">
        <v>0</v>
      </c>
      <c r="T843">
        <v>0</v>
      </c>
      <c r="U843">
        <f>IF(openpolis_patrimoni_trasparenti_anno_2014[[#This Row],[totale_730_dichiarante]]&lt;&gt;0,LOG10(openpolis_patrimoni_trasparenti_anno_2014[[#This Row],[totale_730_dichiarante]]), 0)</f>
        <v>5.10557489834168</v>
      </c>
    </row>
    <row r="844" spans="1:21" x14ac:dyDescent="0.3">
      <c r="A844">
        <v>685884</v>
      </c>
      <c r="B844" s="1" t="s">
        <v>1312</v>
      </c>
      <c r="C844" s="1" t="s">
        <v>1313</v>
      </c>
      <c r="D844" s="2">
        <v>18346</v>
      </c>
      <c r="E844" s="1" t="s">
        <v>86</v>
      </c>
      <c r="F844" s="1" t="s">
        <v>30</v>
      </c>
      <c r="G844" s="1" t="s">
        <v>24</v>
      </c>
      <c r="H844" s="1" t="s">
        <v>24</v>
      </c>
      <c r="I844" s="1" t="s">
        <v>264</v>
      </c>
      <c r="J844">
        <v>173917</v>
      </c>
      <c r="K844">
        <v>0</v>
      </c>
      <c r="L844">
        <v>0</v>
      </c>
      <c r="M844">
        <v>0</v>
      </c>
      <c r="N844">
        <v>3</v>
      </c>
      <c r="O844" s="1" t="s">
        <v>32</v>
      </c>
      <c r="P844">
        <v>3</v>
      </c>
      <c r="Q844">
        <v>1</v>
      </c>
      <c r="R844">
        <v>0</v>
      </c>
      <c r="S844">
        <v>0</v>
      </c>
      <c r="T844">
        <v>0</v>
      </c>
      <c r="U844">
        <f>IF(openpolis_patrimoni_trasparenti_anno_2014[[#This Row],[totale_730_dichiarante]]&lt;&gt;0,LOG10(openpolis_patrimoni_trasparenti_anno_2014[[#This Row],[totale_730_dichiarante]]), 0)</f>
        <v>5.2403420353974468</v>
      </c>
    </row>
    <row r="845" spans="1:21" x14ac:dyDescent="0.3">
      <c r="A845">
        <v>622126</v>
      </c>
      <c r="B845" s="1" t="s">
        <v>1314</v>
      </c>
      <c r="C845" s="1" t="s">
        <v>276</v>
      </c>
      <c r="D845" s="2">
        <v>17834</v>
      </c>
      <c r="E845" s="1" t="s">
        <v>29</v>
      </c>
      <c r="F845" s="1" t="s">
        <v>23</v>
      </c>
      <c r="G845" s="1" t="s">
        <v>24</v>
      </c>
      <c r="H845" s="1" t="s">
        <v>25</v>
      </c>
      <c r="I845" s="1" t="s">
        <v>25</v>
      </c>
      <c r="J845">
        <v>130489</v>
      </c>
      <c r="K845">
        <v>94171</v>
      </c>
      <c r="L845">
        <v>0</v>
      </c>
      <c r="M845">
        <v>0</v>
      </c>
      <c r="N845">
        <v>1</v>
      </c>
      <c r="O845" s="1" t="s">
        <v>119</v>
      </c>
      <c r="P845">
        <v>1</v>
      </c>
      <c r="Q845">
        <v>0</v>
      </c>
      <c r="R845">
        <v>0</v>
      </c>
      <c r="S845">
        <v>0</v>
      </c>
      <c r="T845">
        <v>0</v>
      </c>
      <c r="U845">
        <f>IF(openpolis_patrimoni_trasparenti_anno_2014[[#This Row],[totale_730_dichiarante]]&lt;&gt;0,LOG10(openpolis_patrimoni_trasparenti_anno_2014[[#This Row],[totale_730_dichiarante]]), 0)</f>
        <v>5.1155739029336731</v>
      </c>
    </row>
    <row r="846" spans="1:21" x14ac:dyDescent="0.3">
      <c r="A846">
        <v>1708</v>
      </c>
      <c r="B846" s="1" t="s">
        <v>732</v>
      </c>
      <c r="C846" s="1" t="s">
        <v>1315</v>
      </c>
      <c r="D846" s="2">
        <v>22122</v>
      </c>
      <c r="E846" s="1" t="s">
        <v>156</v>
      </c>
      <c r="F846" s="1" t="s">
        <v>30</v>
      </c>
      <c r="G846" s="1" t="s">
        <v>36</v>
      </c>
      <c r="H846" s="1" t="s">
        <v>37</v>
      </c>
      <c r="I846" s="1" t="s">
        <v>264</v>
      </c>
      <c r="J846">
        <v>98471</v>
      </c>
      <c r="K846">
        <v>0</v>
      </c>
      <c r="L846">
        <v>0</v>
      </c>
      <c r="M846">
        <v>0</v>
      </c>
      <c r="N846">
        <v>3</v>
      </c>
      <c r="O846" s="1" t="s">
        <v>32</v>
      </c>
      <c r="P846">
        <v>3</v>
      </c>
      <c r="Q846">
        <v>0</v>
      </c>
      <c r="R846">
        <v>1</v>
      </c>
      <c r="S846">
        <v>0</v>
      </c>
      <c r="T846">
        <v>0</v>
      </c>
      <c r="U846">
        <f>IF(openpolis_patrimoni_trasparenti_anno_2014[[#This Row],[totale_730_dichiarante]]&lt;&gt;0,LOG10(openpolis_patrimoni_trasparenti_anno_2014[[#This Row],[totale_730_dichiarante]]), 0)</f>
        <v>4.9933083483213911</v>
      </c>
    </row>
    <row r="847" spans="1:21" x14ac:dyDescent="0.3">
      <c r="A847">
        <v>5005</v>
      </c>
      <c r="B847" s="1" t="s">
        <v>1316</v>
      </c>
      <c r="C847" s="1" t="s">
        <v>1317</v>
      </c>
      <c r="D847" s="2">
        <v>19309</v>
      </c>
      <c r="E847" s="1" t="s">
        <v>29</v>
      </c>
      <c r="F847" s="1" t="s">
        <v>30</v>
      </c>
      <c r="G847" s="1" t="s">
        <v>24</v>
      </c>
      <c r="H847" s="1" t="s">
        <v>24</v>
      </c>
      <c r="I847" s="1" t="s">
        <v>264</v>
      </c>
      <c r="J847">
        <v>95935</v>
      </c>
      <c r="K847">
        <v>29718</v>
      </c>
      <c r="L847">
        <v>0</v>
      </c>
      <c r="M847">
        <v>0</v>
      </c>
      <c r="N847">
        <v>3</v>
      </c>
      <c r="O847" s="1" t="s">
        <v>32</v>
      </c>
      <c r="P847">
        <v>1</v>
      </c>
      <c r="Q847">
        <v>0</v>
      </c>
      <c r="R847">
        <v>1</v>
      </c>
      <c r="S847">
        <v>0</v>
      </c>
      <c r="T847">
        <v>0</v>
      </c>
      <c r="U847">
        <f>IF(openpolis_patrimoni_trasparenti_anno_2014[[#This Row],[totale_730_dichiarante]]&lt;&gt;0,LOG10(openpolis_patrimoni_trasparenti_anno_2014[[#This Row],[totale_730_dichiarante]]), 0)</f>
        <v>4.9819770798897745</v>
      </c>
    </row>
    <row r="848" spans="1:21" x14ac:dyDescent="0.3">
      <c r="A848">
        <v>397</v>
      </c>
      <c r="B848" s="1" t="s">
        <v>1318</v>
      </c>
      <c r="C848" s="1" t="s">
        <v>515</v>
      </c>
      <c r="D848" s="2">
        <v>20044</v>
      </c>
      <c r="E848" s="1" t="s">
        <v>86</v>
      </c>
      <c r="F848" s="1" t="s">
        <v>30</v>
      </c>
      <c r="G848" s="1" t="s">
        <v>126</v>
      </c>
      <c r="H848" s="1" t="s">
        <v>127</v>
      </c>
      <c r="I848" s="1" t="s">
        <v>111</v>
      </c>
      <c r="J848">
        <v>91474</v>
      </c>
      <c r="K848">
        <v>0</v>
      </c>
      <c r="L848">
        <v>0</v>
      </c>
      <c r="M848">
        <v>0</v>
      </c>
      <c r="N848">
        <v>3</v>
      </c>
      <c r="O848" s="1" t="s">
        <v>32</v>
      </c>
      <c r="P848">
        <v>3</v>
      </c>
      <c r="Q848">
        <v>0</v>
      </c>
      <c r="R848">
        <v>2</v>
      </c>
      <c r="S848">
        <v>0</v>
      </c>
      <c r="T848">
        <v>0</v>
      </c>
      <c r="U848">
        <f>IF(openpolis_patrimoni_trasparenti_anno_2014[[#This Row],[totale_730_dichiarante]]&lt;&gt;0,LOG10(openpolis_patrimoni_trasparenti_anno_2014[[#This Row],[totale_730_dichiarante]]), 0)</f>
        <v>4.9612976704477321</v>
      </c>
    </row>
    <row r="849" spans="1:21" x14ac:dyDescent="0.3">
      <c r="A849">
        <v>686234</v>
      </c>
      <c r="B849" s="1" t="s">
        <v>1319</v>
      </c>
      <c r="C849" s="1" t="s">
        <v>1320</v>
      </c>
      <c r="D849" s="2">
        <v>29064</v>
      </c>
      <c r="E849" s="1" t="s">
        <v>49</v>
      </c>
      <c r="F849" s="1" t="s">
        <v>30</v>
      </c>
      <c r="G849" s="1" t="s">
        <v>102</v>
      </c>
      <c r="H849" s="1" t="s">
        <v>102</v>
      </c>
      <c r="I849" s="1" t="s">
        <v>111</v>
      </c>
      <c r="J849">
        <v>87490</v>
      </c>
      <c r="K849">
        <v>0</v>
      </c>
      <c r="L849">
        <v>0</v>
      </c>
      <c r="M849">
        <v>0</v>
      </c>
      <c r="N849">
        <v>2</v>
      </c>
      <c r="O849" s="1" t="s">
        <v>43</v>
      </c>
      <c r="P849">
        <v>2</v>
      </c>
      <c r="Q849">
        <v>0</v>
      </c>
      <c r="R849">
        <v>1</v>
      </c>
      <c r="S849">
        <v>1</v>
      </c>
      <c r="T849">
        <v>0</v>
      </c>
      <c r="U849">
        <f>IF(openpolis_patrimoni_trasparenti_anno_2014[[#This Row],[totale_730_dichiarante]]&lt;&gt;0,LOG10(openpolis_patrimoni_trasparenti_anno_2014[[#This Row],[totale_730_dichiarante]]), 0)</f>
        <v>4.9419584165308139</v>
      </c>
    </row>
    <row r="850" spans="1:21" x14ac:dyDescent="0.3">
      <c r="A850">
        <v>332717</v>
      </c>
      <c r="B850" s="1" t="s">
        <v>908</v>
      </c>
      <c r="C850" s="1" t="s">
        <v>1321</v>
      </c>
      <c r="D850" s="2">
        <v>29404</v>
      </c>
      <c r="E850" s="1" t="s">
        <v>63</v>
      </c>
      <c r="F850" s="1" t="s">
        <v>30</v>
      </c>
      <c r="G850" s="1" t="s">
        <v>53</v>
      </c>
      <c r="H850" s="1" t="s">
        <v>53</v>
      </c>
      <c r="I850" s="1" t="s">
        <v>191</v>
      </c>
      <c r="J850">
        <v>98471</v>
      </c>
      <c r="K850">
        <v>0</v>
      </c>
      <c r="L850">
        <v>0</v>
      </c>
      <c r="M850">
        <v>0</v>
      </c>
      <c r="N850">
        <v>3</v>
      </c>
      <c r="O850" s="1" t="s">
        <v>32</v>
      </c>
      <c r="P850">
        <v>2</v>
      </c>
      <c r="Q850">
        <v>0</v>
      </c>
      <c r="R850">
        <v>1</v>
      </c>
      <c r="S850">
        <v>2</v>
      </c>
      <c r="T850">
        <v>0</v>
      </c>
      <c r="U850">
        <f>IF(openpolis_patrimoni_trasparenti_anno_2014[[#This Row],[totale_730_dichiarante]]&lt;&gt;0,LOG10(openpolis_patrimoni_trasparenti_anno_2014[[#This Row],[totale_730_dichiarante]]), 0)</f>
        <v>4.9933083483213911</v>
      </c>
    </row>
    <row r="851" spans="1:21" x14ac:dyDescent="0.3">
      <c r="A851">
        <v>26</v>
      </c>
      <c r="B851" s="1" t="s">
        <v>1322</v>
      </c>
      <c r="C851" s="1" t="s">
        <v>1323</v>
      </c>
      <c r="D851" s="2">
        <v>20925</v>
      </c>
      <c r="E851" s="1" t="s">
        <v>156</v>
      </c>
      <c r="F851" s="1" t="s">
        <v>30</v>
      </c>
      <c r="G851" s="1" t="s">
        <v>126</v>
      </c>
      <c r="H851" s="1" t="s">
        <v>127</v>
      </c>
      <c r="I851" s="1" t="s">
        <v>64</v>
      </c>
      <c r="J851">
        <v>136064</v>
      </c>
      <c r="K851">
        <v>0</v>
      </c>
      <c r="L851">
        <v>0</v>
      </c>
      <c r="M851">
        <v>0</v>
      </c>
      <c r="N851">
        <v>3</v>
      </c>
      <c r="O851" s="1" t="s">
        <v>32</v>
      </c>
      <c r="P851">
        <v>3</v>
      </c>
      <c r="Q851">
        <v>0</v>
      </c>
      <c r="R851">
        <v>2</v>
      </c>
      <c r="S851">
        <v>0</v>
      </c>
      <c r="T851">
        <v>0</v>
      </c>
      <c r="U851">
        <f>IF(openpolis_patrimoni_trasparenti_anno_2014[[#This Row],[totale_730_dichiarante]]&lt;&gt;0,LOG10(openpolis_patrimoni_trasparenti_anno_2014[[#This Row],[totale_730_dichiarante]]), 0)</f>
        <v>5.1337432341711651</v>
      </c>
    </row>
    <row r="852" spans="1:21" x14ac:dyDescent="0.3">
      <c r="A852">
        <v>686338</v>
      </c>
      <c r="B852" s="1" t="s">
        <v>230</v>
      </c>
      <c r="C852" s="1" t="s">
        <v>1324</v>
      </c>
      <c r="D852" s="2">
        <v>26954</v>
      </c>
      <c r="E852" s="1" t="s">
        <v>49</v>
      </c>
      <c r="F852" s="1" t="s">
        <v>30</v>
      </c>
      <c r="G852" s="1" t="s">
        <v>102</v>
      </c>
      <c r="H852" s="1" t="s">
        <v>102</v>
      </c>
      <c r="I852" s="1" t="s">
        <v>64</v>
      </c>
      <c r="J852">
        <v>85590</v>
      </c>
      <c r="K852">
        <v>0</v>
      </c>
      <c r="L852">
        <v>0</v>
      </c>
      <c r="M852">
        <v>0</v>
      </c>
      <c r="N852">
        <v>2</v>
      </c>
      <c r="O852" s="1" t="s">
        <v>43</v>
      </c>
      <c r="P852">
        <v>3</v>
      </c>
      <c r="Q852">
        <v>0</v>
      </c>
      <c r="R852">
        <v>1</v>
      </c>
      <c r="S852">
        <v>0</v>
      </c>
      <c r="T852">
        <v>0</v>
      </c>
      <c r="U852">
        <f>IF(openpolis_patrimoni_trasparenti_anno_2014[[#This Row],[totale_730_dichiarante]]&lt;&gt;0,LOG10(openpolis_patrimoni_trasparenti_anno_2014[[#This Row],[totale_730_dichiarante]]), 0)</f>
        <v>4.932423026376739</v>
      </c>
    </row>
    <row r="853" spans="1:21" x14ac:dyDescent="0.3">
      <c r="A853">
        <v>685961</v>
      </c>
      <c r="B853" s="1" t="s">
        <v>1325</v>
      </c>
      <c r="C853" s="1" t="s">
        <v>1326</v>
      </c>
      <c r="D853" s="2">
        <v>29678</v>
      </c>
      <c r="E853" s="1" t="s">
        <v>63</v>
      </c>
      <c r="F853" s="1" t="s">
        <v>30</v>
      </c>
      <c r="G853" s="1" t="s">
        <v>24</v>
      </c>
      <c r="H853" s="1" t="s">
        <v>24</v>
      </c>
      <c r="I853" s="1" t="s">
        <v>72</v>
      </c>
      <c r="J853">
        <v>82490</v>
      </c>
      <c r="K853">
        <v>0</v>
      </c>
      <c r="L853">
        <v>0</v>
      </c>
      <c r="M853">
        <v>0</v>
      </c>
      <c r="N853">
        <v>3</v>
      </c>
      <c r="O853" s="1" t="s">
        <v>32</v>
      </c>
      <c r="P853">
        <v>4</v>
      </c>
      <c r="Q853">
        <v>0</v>
      </c>
      <c r="R853">
        <v>0</v>
      </c>
      <c r="S853">
        <v>0</v>
      </c>
      <c r="T853">
        <v>0</v>
      </c>
      <c r="U853">
        <f>IF(openpolis_patrimoni_trasparenti_anno_2014[[#This Row],[totale_730_dichiarante]]&lt;&gt;0,LOG10(openpolis_patrimoni_trasparenti_anno_2014[[#This Row],[totale_730_dichiarante]]), 0)</f>
        <v>4.9164013036038758</v>
      </c>
    </row>
    <row r="854" spans="1:21" x14ac:dyDescent="0.3">
      <c r="A854">
        <v>246108</v>
      </c>
      <c r="B854" s="1" t="s">
        <v>582</v>
      </c>
      <c r="C854" s="1" t="s">
        <v>1327</v>
      </c>
      <c r="D854" s="2">
        <v>23883</v>
      </c>
      <c r="E854" s="1" t="s">
        <v>41</v>
      </c>
      <c r="F854" s="1" t="s">
        <v>30</v>
      </c>
      <c r="G854" s="1" t="s">
        <v>36</v>
      </c>
      <c r="H854" s="1" t="s">
        <v>54</v>
      </c>
      <c r="I854" s="1" t="s">
        <v>46</v>
      </c>
      <c r="J854">
        <v>103668</v>
      </c>
      <c r="K854">
        <v>0</v>
      </c>
      <c r="L854">
        <v>0</v>
      </c>
      <c r="M854">
        <v>0</v>
      </c>
      <c r="N854">
        <v>3</v>
      </c>
      <c r="O854" s="1" t="s">
        <v>32</v>
      </c>
      <c r="P854">
        <v>3</v>
      </c>
      <c r="Q854">
        <v>0</v>
      </c>
      <c r="R854">
        <v>1</v>
      </c>
      <c r="S854">
        <v>1</v>
      </c>
      <c r="T854">
        <v>0</v>
      </c>
      <c r="U854">
        <f>IF(openpolis_patrimoni_trasparenti_anno_2014[[#This Row],[totale_730_dichiarante]]&lt;&gt;0,LOG10(openpolis_patrimoni_trasparenti_anno_2014[[#This Row],[totale_730_dichiarante]]), 0)</f>
        <v>5.0156447200523715</v>
      </c>
    </row>
    <row r="855" spans="1:21" x14ac:dyDescent="0.3">
      <c r="A855">
        <v>687239</v>
      </c>
      <c r="B855" s="1" t="s">
        <v>762</v>
      </c>
      <c r="C855" s="1" t="s">
        <v>1328</v>
      </c>
      <c r="D855" s="2">
        <v>20778</v>
      </c>
      <c r="E855" s="1" t="s">
        <v>29</v>
      </c>
      <c r="F855" s="1" t="s">
        <v>30</v>
      </c>
      <c r="G855" s="1" t="s">
        <v>24</v>
      </c>
      <c r="H855" s="1" t="s">
        <v>24</v>
      </c>
      <c r="I855" s="1" t="s">
        <v>284</v>
      </c>
      <c r="J855">
        <v>100444</v>
      </c>
      <c r="K855">
        <v>0</v>
      </c>
      <c r="L855">
        <v>0</v>
      </c>
      <c r="M855">
        <v>0</v>
      </c>
      <c r="N855">
        <v>3</v>
      </c>
      <c r="O855" s="1" t="s">
        <v>32</v>
      </c>
      <c r="P855">
        <v>2</v>
      </c>
      <c r="Q855">
        <v>0</v>
      </c>
      <c r="R855">
        <v>1</v>
      </c>
      <c r="S855">
        <v>1</v>
      </c>
      <c r="T855">
        <v>0</v>
      </c>
      <c r="U855">
        <f>IF(openpolis_patrimoni_trasparenti_anno_2014[[#This Row],[totale_730_dichiarante]]&lt;&gt;0,LOG10(openpolis_patrimoni_trasparenti_anno_2014[[#This Row],[totale_730_dichiarante]]), 0)</f>
        <v>5.001923999374787</v>
      </c>
    </row>
    <row r="856" spans="1:21" x14ac:dyDescent="0.3">
      <c r="A856">
        <v>497584</v>
      </c>
      <c r="B856" s="1" t="s">
        <v>228</v>
      </c>
      <c r="C856" s="1" t="s">
        <v>1329</v>
      </c>
      <c r="D856" s="2">
        <v>28705</v>
      </c>
      <c r="E856" s="1" t="s">
        <v>49</v>
      </c>
      <c r="F856" s="1" t="s">
        <v>30</v>
      </c>
      <c r="G856" s="1" t="s">
        <v>24</v>
      </c>
      <c r="H856" s="1" t="s">
        <v>24</v>
      </c>
      <c r="I856" s="1" t="s">
        <v>55</v>
      </c>
      <c r="J856">
        <v>92523</v>
      </c>
      <c r="K856">
        <v>0</v>
      </c>
      <c r="L856">
        <v>0</v>
      </c>
      <c r="M856">
        <v>0</v>
      </c>
      <c r="N856">
        <v>2</v>
      </c>
      <c r="O856" s="1" t="s">
        <v>43</v>
      </c>
      <c r="P856">
        <v>2</v>
      </c>
      <c r="Q856">
        <v>0</v>
      </c>
      <c r="R856">
        <v>1</v>
      </c>
      <c r="S856">
        <v>1</v>
      </c>
      <c r="T856">
        <v>0</v>
      </c>
      <c r="U856">
        <f>IF(openpolis_patrimoni_trasparenti_anno_2014[[#This Row],[totale_730_dichiarante]]&lt;&gt;0,LOG10(openpolis_patrimoni_trasparenti_anno_2014[[#This Row],[totale_730_dichiarante]]), 0)</f>
        <v>4.9662497060519204</v>
      </c>
    </row>
    <row r="857" spans="1:21" x14ac:dyDescent="0.3">
      <c r="A857">
        <v>1709</v>
      </c>
      <c r="B857" s="1" t="s">
        <v>1330</v>
      </c>
      <c r="C857" s="1" t="s">
        <v>1331</v>
      </c>
      <c r="D857" s="2">
        <v>23337</v>
      </c>
      <c r="E857" s="1" t="s">
        <v>41</v>
      </c>
      <c r="F857" s="1" t="s">
        <v>30</v>
      </c>
      <c r="G857" s="1" t="s">
        <v>24</v>
      </c>
      <c r="H857" s="1" t="s">
        <v>24</v>
      </c>
      <c r="I857" s="1" t="s">
        <v>178</v>
      </c>
      <c r="J857">
        <v>89025</v>
      </c>
      <c r="K857">
        <v>0</v>
      </c>
      <c r="L857">
        <v>0</v>
      </c>
      <c r="M857">
        <v>0</v>
      </c>
      <c r="N857">
        <v>2</v>
      </c>
      <c r="O857" s="1" t="s">
        <v>43</v>
      </c>
      <c r="P857">
        <v>2</v>
      </c>
      <c r="Q857">
        <v>0</v>
      </c>
      <c r="R857">
        <v>1</v>
      </c>
      <c r="S857">
        <v>1</v>
      </c>
      <c r="T857">
        <v>0</v>
      </c>
      <c r="U857">
        <f>IF(openpolis_patrimoni_trasparenti_anno_2014[[#This Row],[totale_730_dichiarante]]&lt;&gt;0,LOG10(openpolis_patrimoni_trasparenti_anno_2014[[#This Row],[totale_730_dichiarante]]), 0)</f>
        <v>4.9495119823462916</v>
      </c>
    </row>
    <row r="858" spans="1:21" x14ac:dyDescent="0.3">
      <c r="A858">
        <v>332880</v>
      </c>
      <c r="B858" s="1" t="s">
        <v>877</v>
      </c>
      <c r="C858" s="1" t="s">
        <v>1332</v>
      </c>
      <c r="D858" s="2">
        <v>23320</v>
      </c>
      <c r="E858" s="1" t="s">
        <v>29</v>
      </c>
      <c r="F858" s="1" t="s">
        <v>30</v>
      </c>
      <c r="G858" s="1" t="s">
        <v>24</v>
      </c>
      <c r="H858" s="1" t="s">
        <v>24</v>
      </c>
      <c r="I858" s="1" t="s">
        <v>280</v>
      </c>
      <c r="J858">
        <v>98471</v>
      </c>
      <c r="K858">
        <v>0</v>
      </c>
      <c r="L858">
        <v>0</v>
      </c>
      <c r="M858">
        <v>0</v>
      </c>
      <c r="N858">
        <v>3</v>
      </c>
      <c r="O858" s="1" t="s">
        <v>32</v>
      </c>
      <c r="P858">
        <v>4</v>
      </c>
      <c r="Q858">
        <v>0</v>
      </c>
      <c r="R858">
        <v>0</v>
      </c>
      <c r="S858">
        <v>0</v>
      </c>
      <c r="T858">
        <v>0</v>
      </c>
      <c r="U858">
        <f>IF(openpolis_patrimoni_trasparenti_anno_2014[[#This Row],[totale_730_dichiarante]]&lt;&gt;0,LOG10(openpolis_patrimoni_trasparenti_anno_2014[[#This Row],[totale_730_dichiarante]]), 0)</f>
        <v>4.9933083483213911</v>
      </c>
    </row>
    <row r="859" spans="1:21" x14ac:dyDescent="0.3">
      <c r="A859">
        <v>4518</v>
      </c>
      <c r="B859" s="1" t="s">
        <v>415</v>
      </c>
      <c r="C859" s="1" t="s">
        <v>1333</v>
      </c>
      <c r="D859" s="2">
        <v>23316</v>
      </c>
      <c r="E859" s="1" t="s">
        <v>249</v>
      </c>
      <c r="F859" s="1" t="s">
        <v>30</v>
      </c>
      <c r="G859" s="1" t="s">
        <v>25</v>
      </c>
      <c r="H859" s="1" t="s">
        <v>54</v>
      </c>
      <c r="I859" s="1" t="s">
        <v>64</v>
      </c>
      <c r="J859">
        <v>132261</v>
      </c>
      <c r="K859">
        <v>0</v>
      </c>
      <c r="L859">
        <v>15000</v>
      </c>
      <c r="M859">
        <v>0</v>
      </c>
      <c r="N859">
        <v>3</v>
      </c>
      <c r="O859" s="1" t="s">
        <v>32</v>
      </c>
      <c r="P859">
        <v>2</v>
      </c>
      <c r="Q859">
        <v>0</v>
      </c>
      <c r="R859">
        <v>1</v>
      </c>
      <c r="S859">
        <v>1</v>
      </c>
      <c r="T859">
        <v>1</v>
      </c>
      <c r="U859">
        <f>IF(openpolis_patrimoni_trasparenti_anno_2014[[#This Row],[totale_730_dichiarante]]&lt;&gt;0,LOG10(openpolis_patrimoni_trasparenti_anno_2014[[#This Row],[totale_730_dichiarante]]), 0)</f>
        <v>5.1214318019974812</v>
      </c>
    </row>
    <row r="860" spans="1:21" x14ac:dyDescent="0.3">
      <c r="A860">
        <v>4475</v>
      </c>
      <c r="B860" s="1" t="s">
        <v>1334</v>
      </c>
      <c r="C860" s="1" t="s">
        <v>1335</v>
      </c>
      <c r="D860" s="2">
        <v>20948</v>
      </c>
      <c r="E860" s="1" t="s">
        <v>22</v>
      </c>
      <c r="F860" s="1" t="s">
        <v>67</v>
      </c>
      <c r="G860" s="1" t="s">
        <v>24</v>
      </c>
      <c r="H860" s="1" t="s">
        <v>24</v>
      </c>
      <c r="I860" s="1" t="s">
        <v>69</v>
      </c>
      <c r="J860">
        <v>88596</v>
      </c>
      <c r="K860">
        <v>31635</v>
      </c>
      <c r="L860">
        <v>0</v>
      </c>
      <c r="M860">
        <v>0</v>
      </c>
      <c r="N860">
        <v>3</v>
      </c>
      <c r="O860" s="1" t="s">
        <v>32</v>
      </c>
      <c r="P860">
        <v>1</v>
      </c>
      <c r="Q860">
        <v>0</v>
      </c>
      <c r="R860">
        <v>1</v>
      </c>
      <c r="S860">
        <v>0</v>
      </c>
      <c r="T860">
        <v>0</v>
      </c>
      <c r="U860">
        <f>IF(openpolis_patrimoni_trasparenti_anno_2014[[#This Row],[totale_730_dichiarante]]&lt;&gt;0,LOG10(openpolis_patrimoni_trasparenti_anno_2014[[#This Row],[totale_730_dichiarante]]), 0)</f>
        <v>4.9474141144700896</v>
      </c>
    </row>
    <row r="861" spans="1:21" x14ac:dyDescent="0.3">
      <c r="A861">
        <v>686881</v>
      </c>
      <c r="B861" s="1" t="s">
        <v>1336</v>
      </c>
      <c r="C861" s="1" t="s">
        <v>1337</v>
      </c>
      <c r="D861" s="2">
        <v>22510</v>
      </c>
      <c r="E861" s="1" t="s">
        <v>136</v>
      </c>
      <c r="F861" s="1" t="s">
        <v>67</v>
      </c>
      <c r="G861" s="1" t="s">
        <v>102</v>
      </c>
      <c r="H861" s="1" t="s">
        <v>279</v>
      </c>
      <c r="I861" s="1" t="s">
        <v>271</v>
      </c>
      <c r="J861">
        <v>94100</v>
      </c>
      <c r="K861">
        <v>0</v>
      </c>
      <c r="L861">
        <v>0</v>
      </c>
      <c r="M861">
        <v>0</v>
      </c>
      <c r="N861">
        <v>3</v>
      </c>
      <c r="O861" s="1" t="s">
        <v>32</v>
      </c>
      <c r="P861">
        <v>2</v>
      </c>
      <c r="Q861">
        <v>0</v>
      </c>
      <c r="R861">
        <v>2</v>
      </c>
      <c r="S861">
        <v>0</v>
      </c>
      <c r="T861">
        <v>0</v>
      </c>
      <c r="U861">
        <f>IF(openpolis_patrimoni_trasparenti_anno_2014[[#This Row],[totale_730_dichiarante]]&lt;&gt;0,LOG10(openpolis_patrimoni_trasparenti_anno_2014[[#This Row],[totale_730_dichiarante]]), 0)</f>
        <v>4.973589623427257</v>
      </c>
    </row>
    <row r="862" spans="1:21" x14ac:dyDescent="0.3">
      <c r="A862">
        <v>1545</v>
      </c>
      <c r="B862" s="1" t="s">
        <v>217</v>
      </c>
      <c r="C862" s="1" t="s">
        <v>1338</v>
      </c>
      <c r="D862" s="2">
        <v>22193</v>
      </c>
      <c r="E862" s="1" t="s">
        <v>49</v>
      </c>
      <c r="F862" s="1" t="s">
        <v>67</v>
      </c>
      <c r="G862" s="1" t="s">
        <v>25</v>
      </c>
      <c r="H862" s="1" t="s">
        <v>168</v>
      </c>
      <c r="I862" s="1" t="s">
        <v>94</v>
      </c>
      <c r="J862">
        <v>129044</v>
      </c>
      <c r="K862">
        <v>0</v>
      </c>
      <c r="L862">
        <v>0</v>
      </c>
      <c r="M862">
        <v>0</v>
      </c>
      <c r="N862">
        <v>3</v>
      </c>
      <c r="O862" s="1" t="s">
        <v>32</v>
      </c>
      <c r="P862">
        <v>2</v>
      </c>
      <c r="Q862">
        <v>1</v>
      </c>
      <c r="R862">
        <v>0</v>
      </c>
      <c r="S862">
        <v>0</v>
      </c>
      <c r="T862">
        <v>0</v>
      </c>
      <c r="U862">
        <f>IF(openpolis_patrimoni_trasparenti_anno_2014[[#This Row],[totale_730_dichiarante]]&lt;&gt;0,LOG10(openpolis_patrimoni_trasparenti_anno_2014[[#This Row],[totale_730_dichiarante]]), 0)</f>
        <v>5.1107378164934554</v>
      </c>
    </row>
    <row r="863" spans="1:21" x14ac:dyDescent="0.3">
      <c r="A863">
        <v>418742</v>
      </c>
      <c r="B863" s="1" t="s">
        <v>708</v>
      </c>
      <c r="C863" s="1" t="s">
        <v>1339</v>
      </c>
      <c r="D863" s="2">
        <v>22685</v>
      </c>
      <c r="E863" s="1" t="s">
        <v>41</v>
      </c>
      <c r="F863" s="1" t="s">
        <v>67</v>
      </c>
      <c r="G863" s="1" t="s">
        <v>24</v>
      </c>
      <c r="H863" s="1" t="s">
        <v>24</v>
      </c>
      <c r="I863" s="1" t="s">
        <v>94</v>
      </c>
      <c r="J863">
        <v>85793</v>
      </c>
      <c r="K863">
        <v>0</v>
      </c>
      <c r="L863">
        <v>0</v>
      </c>
      <c r="M863">
        <v>0</v>
      </c>
      <c r="N863">
        <v>3</v>
      </c>
      <c r="O863" s="1" t="s">
        <v>32</v>
      </c>
      <c r="P863">
        <v>2</v>
      </c>
      <c r="Q863">
        <v>0</v>
      </c>
      <c r="R863">
        <v>2</v>
      </c>
      <c r="S863">
        <v>0</v>
      </c>
      <c r="T863">
        <v>0</v>
      </c>
      <c r="U863">
        <f>IF(openpolis_patrimoni_trasparenti_anno_2014[[#This Row],[totale_730_dichiarante]]&lt;&gt;0,LOG10(openpolis_patrimoni_trasparenti_anno_2014[[#This Row],[totale_730_dichiarante]]), 0)</f>
        <v>4.9334518544525299</v>
      </c>
    </row>
    <row r="864" spans="1:21" x14ac:dyDescent="0.3">
      <c r="A864">
        <v>685830</v>
      </c>
      <c r="B864" s="1" t="s">
        <v>242</v>
      </c>
      <c r="C864" s="1" t="s">
        <v>1340</v>
      </c>
      <c r="D864" s="2">
        <v>23652</v>
      </c>
      <c r="E864" s="1" t="s">
        <v>41</v>
      </c>
      <c r="F864" s="1" t="s">
        <v>67</v>
      </c>
      <c r="G864" s="1" t="s">
        <v>102</v>
      </c>
      <c r="H864" s="1" t="s">
        <v>54</v>
      </c>
      <c r="I864" s="1" t="s">
        <v>42</v>
      </c>
      <c r="J864">
        <v>86731</v>
      </c>
      <c r="K864">
        <v>0</v>
      </c>
      <c r="L864">
        <v>0</v>
      </c>
      <c r="M864">
        <v>0</v>
      </c>
      <c r="N864">
        <v>2</v>
      </c>
      <c r="O864" s="1" t="s">
        <v>43</v>
      </c>
      <c r="P864">
        <v>1</v>
      </c>
      <c r="Q864">
        <v>0</v>
      </c>
      <c r="R864">
        <v>1</v>
      </c>
      <c r="S864">
        <v>0</v>
      </c>
      <c r="T864">
        <v>0</v>
      </c>
      <c r="U864">
        <f>IF(openpolis_patrimoni_trasparenti_anno_2014[[#This Row],[totale_730_dichiarante]]&lt;&gt;0,LOG10(openpolis_patrimoni_trasparenti_anno_2014[[#This Row],[totale_730_dichiarante]]), 0)</f>
        <v>4.9381743537923519</v>
      </c>
    </row>
    <row r="865" spans="1:21" x14ac:dyDescent="0.3">
      <c r="A865">
        <v>332966</v>
      </c>
      <c r="B865" s="1" t="s">
        <v>145</v>
      </c>
      <c r="C865" s="1" t="s">
        <v>1341</v>
      </c>
      <c r="D865" s="2">
        <v>20808</v>
      </c>
      <c r="E865" s="1" t="s">
        <v>41</v>
      </c>
      <c r="F865" s="1" t="s">
        <v>67</v>
      </c>
      <c r="G865" s="1" t="s">
        <v>36</v>
      </c>
      <c r="H865" s="1" t="s">
        <v>37</v>
      </c>
      <c r="I865" s="1" t="s">
        <v>345</v>
      </c>
      <c r="J865">
        <v>122929</v>
      </c>
      <c r="K865">
        <v>0</v>
      </c>
      <c r="L865">
        <v>0</v>
      </c>
      <c r="M865">
        <v>0</v>
      </c>
      <c r="N865">
        <v>3</v>
      </c>
      <c r="O865" s="1" t="s">
        <v>32</v>
      </c>
      <c r="P865">
        <v>1</v>
      </c>
      <c r="Q865">
        <v>0</v>
      </c>
      <c r="R865">
        <v>2</v>
      </c>
      <c r="S865">
        <v>1</v>
      </c>
      <c r="T865">
        <v>0</v>
      </c>
      <c r="U865">
        <f>IF(openpolis_patrimoni_trasparenti_anno_2014[[#This Row],[totale_730_dichiarante]]&lt;&gt;0,LOG10(openpolis_patrimoni_trasparenti_anno_2014[[#This Row],[totale_730_dichiarante]]), 0)</f>
        <v>5.0896543487471426</v>
      </c>
    </row>
    <row r="866" spans="1:21" x14ac:dyDescent="0.3">
      <c r="A866">
        <v>34366</v>
      </c>
      <c r="B866" s="1" t="s">
        <v>1342</v>
      </c>
      <c r="C866" s="1" t="s">
        <v>1343</v>
      </c>
      <c r="D866" s="2">
        <v>16330</v>
      </c>
      <c r="E866" s="1" t="s">
        <v>75</v>
      </c>
      <c r="F866" s="1" t="s">
        <v>67</v>
      </c>
      <c r="G866" s="1" t="s">
        <v>36</v>
      </c>
      <c r="H866" s="1" t="s">
        <v>37</v>
      </c>
      <c r="I866" s="1" t="s">
        <v>89</v>
      </c>
      <c r="J866">
        <v>341382</v>
      </c>
      <c r="K866">
        <v>0</v>
      </c>
      <c r="L866">
        <v>0</v>
      </c>
      <c r="M866">
        <v>0</v>
      </c>
      <c r="N866">
        <v>2</v>
      </c>
      <c r="O866" s="1" t="s">
        <v>43</v>
      </c>
      <c r="P866">
        <v>7</v>
      </c>
      <c r="Q866">
        <v>1</v>
      </c>
      <c r="R866">
        <v>1</v>
      </c>
      <c r="S866">
        <v>10</v>
      </c>
      <c r="T866">
        <v>2</v>
      </c>
      <c r="U866">
        <f>IF(openpolis_patrimoni_trasparenti_anno_2014[[#This Row],[totale_730_dichiarante]]&lt;&gt;0,LOG10(openpolis_patrimoni_trasparenti_anno_2014[[#This Row],[totale_730_dichiarante]]), 0)</f>
        <v>5.5332406183992147</v>
      </c>
    </row>
    <row r="867" spans="1:21" x14ac:dyDescent="0.3">
      <c r="A867">
        <v>278</v>
      </c>
      <c r="B867" s="1" t="s">
        <v>1344</v>
      </c>
      <c r="C867" s="1" t="s">
        <v>1345</v>
      </c>
      <c r="D867" s="2">
        <v>20426</v>
      </c>
      <c r="E867" s="1" t="s">
        <v>35</v>
      </c>
      <c r="F867" s="1" t="s">
        <v>67</v>
      </c>
      <c r="G867" s="1" t="s">
        <v>25</v>
      </c>
      <c r="H867" s="1" t="s">
        <v>168</v>
      </c>
      <c r="I867" s="1" t="s">
        <v>286</v>
      </c>
      <c r="J867">
        <v>122688</v>
      </c>
      <c r="K867">
        <v>0</v>
      </c>
      <c r="L867">
        <v>0</v>
      </c>
      <c r="M867">
        <v>0</v>
      </c>
      <c r="N867">
        <v>3</v>
      </c>
      <c r="O867" s="1" t="s">
        <v>32</v>
      </c>
      <c r="P867">
        <v>7</v>
      </c>
      <c r="Q867">
        <v>0</v>
      </c>
      <c r="R867">
        <v>0</v>
      </c>
      <c r="S867">
        <v>13</v>
      </c>
      <c r="T867">
        <v>0</v>
      </c>
      <c r="U867">
        <f>IF(openpolis_patrimoni_trasparenti_anno_2014[[#This Row],[totale_730_dichiarante]]&lt;&gt;0,LOG10(openpolis_patrimoni_trasparenti_anno_2014[[#This Row],[totale_730_dichiarante]]), 0)</f>
        <v>5.0888020868619499</v>
      </c>
    </row>
    <row r="868" spans="1:21" x14ac:dyDescent="0.3">
      <c r="A868">
        <v>83884</v>
      </c>
      <c r="B868" s="1" t="s">
        <v>1346</v>
      </c>
      <c r="C868" s="1" t="s">
        <v>1347</v>
      </c>
      <c r="D868" s="2">
        <v>24548</v>
      </c>
      <c r="E868" s="1" t="s">
        <v>140</v>
      </c>
      <c r="F868" s="1" t="s">
        <v>377</v>
      </c>
      <c r="G868" s="1" t="s">
        <v>263</v>
      </c>
      <c r="H868" s="1" t="s">
        <v>25</v>
      </c>
      <c r="I868" s="1" t="s">
        <v>345</v>
      </c>
      <c r="J868">
        <v>107131</v>
      </c>
      <c r="K868">
        <v>0</v>
      </c>
      <c r="L868">
        <v>0</v>
      </c>
      <c r="M868">
        <v>0</v>
      </c>
      <c r="N868">
        <v>2</v>
      </c>
      <c r="O868" s="1" t="s">
        <v>195</v>
      </c>
      <c r="P868">
        <v>9</v>
      </c>
      <c r="Q868">
        <v>5</v>
      </c>
      <c r="R868">
        <v>4</v>
      </c>
      <c r="S868">
        <v>0</v>
      </c>
      <c r="T868">
        <v>0</v>
      </c>
      <c r="U868">
        <f>IF(openpolis_patrimoni_trasparenti_anno_2014[[#This Row],[totale_730_dichiarante]]&lt;&gt;0,LOG10(openpolis_patrimoni_trasparenti_anno_2014[[#This Row],[totale_730_dichiarante]]), 0)</f>
        <v>5.0299151587951565</v>
      </c>
    </row>
    <row r="869" spans="1:21" x14ac:dyDescent="0.3">
      <c r="A869">
        <v>718</v>
      </c>
      <c r="B869" s="1" t="s">
        <v>1348</v>
      </c>
      <c r="C869" s="1" t="s">
        <v>1349</v>
      </c>
      <c r="D869" s="2">
        <v>28717</v>
      </c>
      <c r="E869" s="1" t="s">
        <v>22</v>
      </c>
      <c r="F869" s="1" t="s">
        <v>30</v>
      </c>
      <c r="G869" s="1" t="s">
        <v>126</v>
      </c>
      <c r="H869" s="1" t="s">
        <v>127</v>
      </c>
      <c r="I869" s="1" t="s">
        <v>264</v>
      </c>
      <c r="J869">
        <v>78275</v>
      </c>
      <c r="K869">
        <v>0</v>
      </c>
      <c r="L869">
        <v>0</v>
      </c>
      <c r="M869">
        <v>0</v>
      </c>
      <c r="N869">
        <v>3</v>
      </c>
      <c r="O869" s="1" t="s">
        <v>32</v>
      </c>
      <c r="P869">
        <v>1</v>
      </c>
      <c r="Q869">
        <v>2</v>
      </c>
      <c r="R869">
        <v>0</v>
      </c>
      <c r="S869">
        <v>0</v>
      </c>
      <c r="T869">
        <v>0</v>
      </c>
      <c r="U869">
        <f>IF(openpolis_patrimoni_trasparenti_anno_2014[[#This Row],[totale_730_dichiarante]]&lt;&gt;0,LOG10(openpolis_patrimoni_trasparenti_anno_2014[[#This Row],[totale_730_dichiarante]]), 0)</f>
        <v>4.8936230762889528</v>
      </c>
    </row>
    <row r="870" spans="1:21" x14ac:dyDescent="0.3">
      <c r="A870">
        <v>686164</v>
      </c>
      <c r="B870" s="1" t="s">
        <v>1350</v>
      </c>
      <c r="C870" s="1" t="s">
        <v>1351</v>
      </c>
      <c r="D870" s="2">
        <v>27130</v>
      </c>
      <c r="E870" s="1" t="s">
        <v>35</v>
      </c>
      <c r="F870" s="1" t="s">
        <v>30</v>
      </c>
      <c r="G870" s="1" t="s">
        <v>102</v>
      </c>
      <c r="H870" s="1" t="s">
        <v>102</v>
      </c>
      <c r="I870" s="1" t="s">
        <v>132</v>
      </c>
      <c r="J870">
        <v>103970</v>
      </c>
      <c r="K870">
        <v>0</v>
      </c>
      <c r="L870">
        <v>0</v>
      </c>
      <c r="M870">
        <v>0</v>
      </c>
      <c r="N870">
        <v>3</v>
      </c>
      <c r="O870" s="1" t="s">
        <v>32</v>
      </c>
      <c r="P870">
        <v>1</v>
      </c>
      <c r="Q870">
        <v>0</v>
      </c>
      <c r="R870">
        <v>2</v>
      </c>
      <c r="S870">
        <v>0</v>
      </c>
      <c r="T870">
        <v>0</v>
      </c>
      <c r="U870">
        <f>IF(openpolis_patrimoni_trasparenti_anno_2014[[#This Row],[totale_730_dichiarante]]&lt;&gt;0,LOG10(openpolis_patrimoni_trasparenti_anno_2014[[#This Row],[totale_730_dichiarante]]), 0)</f>
        <v>5.0169080439720748</v>
      </c>
    </row>
    <row r="871" spans="1:21" x14ac:dyDescent="0.3">
      <c r="A871">
        <v>686185</v>
      </c>
      <c r="B871" s="1" t="s">
        <v>203</v>
      </c>
      <c r="C871" s="1" t="s">
        <v>797</v>
      </c>
      <c r="D871" s="2">
        <v>17276</v>
      </c>
      <c r="E871" s="1" t="s">
        <v>86</v>
      </c>
      <c r="F871" s="1" t="s">
        <v>30</v>
      </c>
      <c r="G871" s="1" t="s">
        <v>24</v>
      </c>
      <c r="H871" s="1" t="s">
        <v>24</v>
      </c>
      <c r="I871" s="1" t="s">
        <v>264</v>
      </c>
      <c r="J871">
        <v>112031</v>
      </c>
      <c r="K871">
        <v>28524</v>
      </c>
      <c r="L871">
        <v>0</v>
      </c>
      <c r="M871">
        <v>0</v>
      </c>
      <c r="N871">
        <v>3</v>
      </c>
      <c r="O871" s="1" t="s">
        <v>32</v>
      </c>
      <c r="P871">
        <v>1</v>
      </c>
      <c r="Q871">
        <v>0</v>
      </c>
      <c r="R871">
        <v>1</v>
      </c>
      <c r="S871">
        <v>0</v>
      </c>
      <c r="T871">
        <v>0</v>
      </c>
      <c r="U871">
        <f>IF(openpolis_patrimoni_trasparenti_anno_2014[[#This Row],[totale_730_dichiarante]]&lt;&gt;0,LOG10(openpolis_patrimoni_trasparenti_anno_2014[[#This Row],[totale_730_dichiarante]]), 0)</f>
        <v>5.0493382125459121</v>
      </c>
    </row>
    <row r="872" spans="1:21" x14ac:dyDescent="0.3">
      <c r="A872">
        <v>499</v>
      </c>
      <c r="B872" s="1" t="s">
        <v>1352</v>
      </c>
      <c r="C872" s="1" t="s">
        <v>1353</v>
      </c>
      <c r="D872" s="2">
        <v>20635</v>
      </c>
      <c r="E872" s="1" t="s">
        <v>49</v>
      </c>
      <c r="F872" s="1" t="s">
        <v>30</v>
      </c>
      <c r="G872" s="1" t="s">
        <v>24</v>
      </c>
      <c r="H872" s="1" t="s">
        <v>24</v>
      </c>
      <c r="I872" s="1" t="s">
        <v>111</v>
      </c>
      <c r="J872">
        <v>98553</v>
      </c>
      <c r="K872">
        <v>0</v>
      </c>
      <c r="L872">
        <v>0</v>
      </c>
      <c r="M872">
        <v>0</v>
      </c>
      <c r="N872">
        <v>3</v>
      </c>
      <c r="O872" s="1" t="s">
        <v>32</v>
      </c>
      <c r="P872">
        <v>2</v>
      </c>
      <c r="Q872">
        <v>0</v>
      </c>
      <c r="R872">
        <v>1</v>
      </c>
      <c r="S872">
        <v>2</v>
      </c>
      <c r="T872">
        <v>0</v>
      </c>
      <c r="U872">
        <f>IF(openpolis_patrimoni_trasparenti_anno_2014[[#This Row],[totale_730_dichiarante]]&lt;&gt;0,LOG10(openpolis_patrimoni_trasparenti_anno_2014[[#This Row],[totale_730_dichiarante]]), 0)</f>
        <v>4.9936698489464142</v>
      </c>
    </row>
    <row r="873" spans="1:21" x14ac:dyDescent="0.3">
      <c r="A873">
        <v>120760</v>
      </c>
      <c r="B873" s="1" t="s">
        <v>559</v>
      </c>
      <c r="C873" s="1" t="s">
        <v>1354</v>
      </c>
      <c r="D873" s="2">
        <v>26083</v>
      </c>
      <c r="E873" s="1" t="s">
        <v>29</v>
      </c>
      <c r="F873" s="1" t="s">
        <v>30</v>
      </c>
      <c r="G873" s="1" t="s">
        <v>24</v>
      </c>
      <c r="H873" s="1" t="s">
        <v>24</v>
      </c>
      <c r="I873" s="1" t="s">
        <v>111</v>
      </c>
      <c r="J873">
        <v>95890</v>
      </c>
      <c r="K873">
        <v>0</v>
      </c>
      <c r="L873">
        <v>0</v>
      </c>
      <c r="M873">
        <v>0</v>
      </c>
      <c r="N873">
        <v>3</v>
      </c>
      <c r="O873" s="1" t="s">
        <v>32</v>
      </c>
      <c r="P873">
        <v>1</v>
      </c>
      <c r="Q873">
        <v>0</v>
      </c>
      <c r="R873">
        <v>2</v>
      </c>
      <c r="S873">
        <v>1</v>
      </c>
      <c r="T873">
        <v>0</v>
      </c>
      <c r="U873">
        <f>IF(openpolis_patrimoni_trasparenti_anno_2014[[#This Row],[totale_730_dichiarante]]&lt;&gt;0,LOG10(openpolis_patrimoni_trasparenti_anno_2014[[#This Row],[totale_730_dichiarante]]), 0)</f>
        <v>4.9817733186277469</v>
      </c>
    </row>
    <row r="874" spans="1:21" x14ac:dyDescent="0.3">
      <c r="A874">
        <v>475723</v>
      </c>
      <c r="B874" s="1" t="s">
        <v>203</v>
      </c>
      <c r="C874" s="1" t="s">
        <v>1355</v>
      </c>
      <c r="D874" s="2">
        <v>23484</v>
      </c>
      <c r="E874" s="1" t="s">
        <v>29</v>
      </c>
      <c r="F874" s="1" t="s">
        <v>30</v>
      </c>
      <c r="G874" s="1" t="s">
        <v>24</v>
      </c>
      <c r="H874" s="1" t="s">
        <v>24</v>
      </c>
      <c r="I874" s="1" t="s">
        <v>191</v>
      </c>
      <c r="J874">
        <v>87948</v>
      </c>
      <c r="K874">
        <v>0</v>
      </c>
      <c r="L874">
        <v>0</v>
      </c>
      <c r="M874">
        <v>0</v>
      </c>
      <c r="N874">
        <v>3</v>
      </c>
      <c r="O874" s="1" t="s">
        <v>32</v>
      </c>
      <c r="P874">
        <v>1</v>
      </c>
      <c r="Q874">
        <v>1</v>
      </c>
      <c r="R874">
        <v>2</v>
      </c>
      <c r="S874">
        <v>0</v>
      </c>
      <c r="T874">
        <v>0</v>
      </c>
      <c r="U874">
        <f>IF(openpolis_patrimoni_trasparenti_anno_2014[[#This Row],[totale_730_dichiarante]]&lt;&gt;0,LOG10(openpolis_patrimoni_trasparenti_anno_2014[[#This Row],[totale_730_dichiarante]]), 0)</f>
        <v>4.9442259677407243</v>
      </c>
    </row>
    <row r="875" spans="1:21" x14ac:dyDescent="0.3">
      <c r="A875">
        <v>686264</v>
      </c>
      <c r="B875" s="1" t="s">
        <v>1356</v>
      </c>
      <c r="C875" s="1" t="s">
        <v>1357</v>
      </c>
      <c r="D875" s="2">
        <v>19259</v>
      </c>
      <c r="E875" s="1" t="s">
        <v>75</v>
      </c>
      <c r="F875" s="1" t="s">
        <v>30</v>
      </c>
      <c r="G875" s="1" t="s">
        <v>25</v>
      </c>
      <c r="H875" s="1" t="s">
        <v>97</v>
      </c>
      <c r="I875" s="1" t="s">
        <v>191</v>
      </c>
      <c r="J875">
        <v>132882</v>
      </c>
      <c r="K875">
        <v>0</v>
      </c>
      <c r="L875">
        <v>0</v>
      </c>
      <c r="M875">
        <v>0</v>
      </c>
      <c r="N875">
        <v>2</v>
      </c>
      <c r="O875" s="1" t="s">
        <v>43</v>
      </c>
      <c r="P875">
        <v>3</v>
      </c>
      <c r="Q875">
        <v>0</v>
      </c>
      <c r="R875">
        <v>1</v>
      </c>
      <c r="S875">
        <v>0</v>
      </c>
      <c r="T875">
        <v>0</v>
      </c>
      <c r="U875">
        <f>IF(openpolis_patrimoni_trasparenti_anno_2014[[#This Row],[totale_730_dichiarante]]&lt;&gt;0,LOG10(openpolis_patrimoni_trasparenti_anno_2014[[#This Row],[totale_730_dichiarante]]), 0)</f>
        <v>5.1234661560359571</v>
      </c>
    </row>
    <row r="876" spans="1:21" x14ac:dyDescent="0.3">
      <c r="A876">
        <v>686313</v>
      </c>
      <c r="B876" s="1" t="s">
        <v>776</v>
      </c>
      <c r="C876" s="1" t="s">
        <v>1358</v>
      </c>
      <c r="D876" s="2">
        <v>27205</v>
      </c>
      <c r="E876" s="1" t="s">
        <v>136</v>
      </c>
      <c r="F876" s="1" t="s">
        <v>30</v>
      </c>
      <c r="G876" s="1" t="s">
        <v>24</v>
      </c>
      <c r="H876" s="1" t="s">
        <v>24</v>
      </c>
      <c r="I876" s="1" t="s">
        <v>64</v>
      </c>
      <c r="J876">
        <v>112093</v>
      </c>
      <c r="K876">
        <v>0</v>
      </c>
      <c r="L876">
        <v>0</v>
      </c>
      <c r="M876">
        <v>0</v>
      </c>
      <c r="N876">
        <v>3</v>
      </c>
      <c r="O876" s="1" t="s">
        <v>32</v>
      </c>
      <c r="P876">
        <v>2</v>
      </c>
      <c r="Q876">
        <v>0</v>
      </c>
      <c r="R876">
        <v>3</v>
      </c>
      <c r="S876">
        <v>0</v>
      </c>
      <c r="T876">
        <v>0</v>
      </c>
      <c r="U876">
        <f>IF(openpolis_patrimoni_trasparenti_anno_2014[[#This Row],[totale_730_dichiarante]]&lt;&gt;0,LOG10(openpolis_patrimoni_trasparenti_anno_2014[[#This Row],[totale_730_dichiarante]]), 0)</f>
        <v>5.0495784925566642</v>
      </c>
    </row>
    <row r="877" spans="1:21" x14ac:dyDescent="0.3">
      <c r="A877">
        <v>532</v>
      </c>
      <c r="B877" s="1" t="s">
        <v>230</v>
      </c>
      <c r="C877" s="1" t="s">
        <v>1359</v>
      </c>
      <c r="D877" s="2">
        <v>19377</v>
      </c>
      <c r="E877" s="1" t="s">
        <v>49</v>
      </c>
      <c r="F877" s="1" t="s">
        <v>30</v>
      </c>
      <c r="G877" s="1" t="s">
        <v>24</v>
      </c>
      <c r="H877" s="1" t="s">
        <v>24</v>
      </c>
      <c r="I877" s="1" t="s">
        <v>72</v>
      </c>
      <c r="J877">
        <v>99210</v>
      </c>
      <c r="K877">
        <v>0</v>
      </c>
      <c r="L877">
        <v>0</v>
      </c>
      <c r="M877">
        <v>0</v>
      </c>
      <c r="N877">
        <v>3</v>
      </c>
      <c r="O877" s="1" t="s">
        <v>32</v>
      </c>
      <c r="P877">
        <v>2</v>
      </c>
      <c r="Q877">
        <v>1</v>
      </c>
      <c r="R877">
        <v>1</v>
      </c>
      <c r="S877">
        <v>0</v>
      </c>
      <c r="T877">
        <v>0</v>
      </c>
      <c r="U877">
        <f>IF(openpolis_patrimoni_trasparenti_anno_2014[[#This Row],[totale_730_dichiarante]]&lt;&gt;0,LOG10(openpolis_patrimoni_trasparenti_anno_2014[[#This Row],[totale_730_dichiarante]]), 0)</f>
        <v>4.9965554496333651</v>
      </c>
    </row>
    <row r="878" spans="1:21" x14ac:dyDescent="0.3">
      <c r="A878">
        <v>687</v>
      </c>
      <c r="B878" s="1" t="s">
        <v>84</v>
      </c>
      <c r="C878" s="1" t="s">
        <v>1360</v>
      </c>
      <c r="D878" s="2">
        <v>18705</v>
      </c>
      <c r="E878" s="1" t="s">
        <v>35</v>
      </c>
      <c r="F878" s="1" t="s">
        <v>30</v>
      </c>
      <c r="G878" s="1" t="s">
        <v>36</v>
      </c>
      <c r="H878" s="1" t="s">
        <v>37</v>
      </c>
      <c r="I878" s="1" t="s">
        <v>72</v>
      </c>
      <c r="J878">
        <v>93437</v>
      </c>
      <c r="K878">
        <v>0</v>
      </c>
      <c r="L878">
        <v>0</v>
      </c>
      <c r="M878">
        <v>0</v>
      </c>
      <c r="N878">
        <v>3</v>
      </c>
      <c r="O878" s="1" t="s">
        <v>32</v>
      </c>
      <c r="P878">
        <v>1</v>
      </c>
      <c r="Q878">
        <v>0</v>
      </c>
      <c r="R878">
        <v>1</v>
      </c>
      <c r="S878">
        <v>1</v>
      </c>
      <c r="T878">
        <v>1</v>
      </c>
      <c r="U878">
        <f>IF(openpolis_patrimoni_trasparenti_anno_2014[[#This Row],[totale_730_dichiarante]]&lt;&gt;0,LOG10(openpolis_patrimoni_trasparenti_anno_2014[[#This Row],[totale_730_dichiarante]]), 0)</f>
        <v>4.9705188860144558</v>
      </c>
    </row>
    <row r="879" spans="1:21" x14ac:dyDescent="0.3">
      <c r="A879">
        <v>686392</v>
      </c>
      <c r="B879" s="1" t="s">
        <v>1017</v>
      </c>
      <c r="C879" s="1" t="s">
        <v>1361</v>
      </c>
      <c r="D879" s="2">
        <v>23549</v>
      </c>
      <c r="E879" s="1" t="s">
        <v>29</v>
      </c>
      <c r="F879" s="1" t="s">
        <v>30</v>
      </c>
      <c r="G879" s="1" t="s">
        <v>25</v>
      </c>
      <c r="H879" s="1" t="s">
        <v>24</v>
      </c>
      <c r="I879" s="1" t="s">
        <v>72</v>
      </c>
      <c r="J879">
        <v>3926209</v>
      </c>
      <c r="K879">
        <v>0</v>
      </c>
      <c r="L879">
        <v>0</v>
      </c>
      <c r="M879">
        <v>0</v>
      </c>
      <c r="N879">
        <v>3</v>
      </c>
      <c r="O879" s="1" t="s">
        <v>32</v>
      </c>
      <c r="P879">
        <v>4</v>
      </c>
      <c r="Q879">
        <v>0</v>
      </c>
      <c r="R879">
        <v>2</v>
      </c>
      <c r="S879">
        <v>37</v>
      </c>
      <c r="T879">
        <v>15</v>
      </c>
      <c r="U879">
        <f>IF(openpolis_patrimoni_trasparenti_anno_2014[[#This Row],[totale_730_dichiarante]]&lt;&gt;0,LOG10(openpolis_patrimoni_trasparenti_anno_2014[[#This Row],[totale_730_dichiarante]]), 0)</f>
        <v>6.5939734142478912</v>
      </c>
    </row>
    <row r="880" spans="1:21" x14ac:dyDescent="0.3">
      <c r="A880">
        <v>686407</v>
      </c>
      <c r="B880" s="1" t="s">
        <v>201</v>
      </c>
      <c r="C880" s="1" t="s">
        <v>1362</v>
      </c>
      <c r="D880" s="2">
        <v>27547</v>
      </c>
      <c r="E880" s="1" t="s">
        <v>136</v>
      </c>
      <c r="F880" s="1" t="s">
        <v>30</v>
      </c>
      <c r="G880" s="1" t="s">
        <v>24</v>
      </c>
      <c r="H880" s="1" t="s">
        <v>24</v>
      </c>
      <c r="I880" s="1" t="s">
        <v>118</v>
      </c>
      <c r="J880">
        <v>85772</v>
      </c>
      <c r="K880">
        <v>0</v>
      </c>
      <c r="L880">
        <v>0</v>
      </c>
      <c r="M880">
        <v>0</v>
      </c>
      <c r="N880">
        <v>3</v>
      </c>
      <c r="O880" s="1" t="s">
        <v>32</v>
      </c>
      <c r="P880">
        <v>3</v>
      </c>
      <c r="Q880">
        <v>0</v>
      </c>
      <c r="R880">
        <v>0</v>
      </c>
      <c r="S880">
        <v>0</v>
      </c>
      <c r="T880">
        <v>0</v>
      </c>
      <c r="U880">
        <f>IF(openpolis_patrimoni_trasparenti_anno_2014[[#This Row],[totale_730_dichiarante]]&lt;&gt;0,LOG10(openpolis_patrimoni_trasparenti_anno_2014[[#This Row],[totale_730_dichiarante]]), 0)</f>
        <v>4.9333455369149721</v>
      </c>
    </row>
    <row r="881" spans="1:21" x14ac:dyDescent="0.3">
      <c r="A881">
        <v>686013</v>
      </c>
      <c r="B881" s="1" t="s">
        <v>559</v>
      </c>
      <c r="C881" s="1" t="s">
        <v>1363</v>
      </c>
      <c r="D881" s="2">
        <v>27250</v>
      </c>
      <c r="E881" s="1" t="s">
        <v>75</v>
      </c>
      <c r="F881" s="1" t="s">
        <v>30</v>
      </c>
      <c r="G881" s="1" t="s">
        <v>102</v>
      </c>
      <c r="H881" s="1" t="s">
        <v>102</v>
      </c>
      <c r="I881" s="1" t="s">
        <v>118</v>
      </c>
      <c r="J881">
        <v>98311</v>
      </c>
      <c r="K881">
        <v>0</v>
      </c>
      <c r="L881">
        <v>0</v>
      </c>
      <c r="M881">
        <v>0</v>
      </c>
      <c r="N881">
        <v>3</v>
      </c>
      <c r="O881" s="1" t="s">
        <v>32</v>
      </c>
      <c r="P881">
        <v>1</v>
      </c>
      <c r="Q881">
        <v>0</v>
      </c>
      <c r="R881">
        <v>1</v>
      </c>
      <c r="S881">
        <v>1</v>
      </c>
      <c r="T881">
        <v>1</v>
      </c>
      <c r="U881">
        <f>IF(openpolis_patrimoni_trasparenti_anno_2014[[#This Row],[totale_730_dichiarante]]&lt;&gt;0,LOG10(openpolis_patrimoni_trasparenti_anno_2014[[#This Row],[totale_730_dichiarante]]), 0)</f>
        <v>4.9926021136818681</v>
      </c>
    </row>
    <row r="882" spans="1:21" x14ac:dyDescent="0.3">
      <c r="A882">
        <v>686427</v>
      </c>
      <c r="B882" s="1" t="s">
        <v>141</v>
      </c>
      <c r="C882" s="1" t="s">
        <v>161</v>
      </c>
      <c r="D882" s="2">
        <v>22399</v>
      </c>
      <c r="E882" s="1" t="s">
        <v>156</v>
      </c>
      <c r="F882" s="1" t="s">
        <v>30</v>
      </c>
      <c r="G882" s="1" t="s">
        <v>126</v>
      </c>
      <c r="H882" s="1" t="s">
        <v>127</v>
      </c>
      <c r="I882" s="1" t="s">
        <v>38</v>
      </c>
      <c r="J882">
        <v>124893</v>
      </c>
      <c r="K882">
        <v>0</v>
      </c>
      <c r="L882">
        <v>0</v>
      </c>
      <c r="M882">
        <v>0</v>
      </c>
      <c r="N882">
        <v>3</v>
      </c>
      <c r="O882" s="1" t="s">
        <v>32</v>
      </c>
      <c r="P882">
        <v>3</v>
      </c>
      <c r="Q882">
        <v>0</v>
      </c>
      <c r="R882">
        <v>1</v>
      </c>
      <c r="S882">
        <v>0</v>
      </c>
      <c r="T882">
        <v>0</v>
      </c>
      <c r="U882">
        <f>IF(openpolis_patrimoni_trasparenti_anno_2014[[#This Row],[totale_730_dichiarante]]&lt;&gt;0,LOG10(openpolis_patrimoni_trasparenti_anno_2014[[#This Row],[totale_730_dichiarante]]), 0)</f>
        <v>5.0965380977290886</v>
      </c>
    </row>
    <row r="883" spans="1:21" x14ac:dyDescent="0.3">
      <c r="A883">
        <v>332736</v>
      </c>
      <c r="B883" s="1" t="s">
        <v>559</v>
      </c>
      <c r="C883" s="1" t="s">
        <v>1364</v>
      </c>
      <c r="D883" s="2">
        <v>25750</v>
      </c>
      <c r="E883" s="1" t="s">
        <v>41</v>
      </c>
      <c r="F883" s="1" t="s">
        <v>30</v>
      </c>
      <c r="G883" s="1" t="s">
        <v>24</v>
      </c>
      <c r="H883" s="1" t="s">
        <v>24</v>
      </c>
      <c r="I883" s="1" t="s">
        <v>115</v>
      </c>
      <c r="J883">
        <v>138267</v>
      </c>
      <c r="K883">
        <v>0</v>
      </c>
      <c r="L883">
        <v>0</v>
      </c>
      <c r="M883">
        <v>0</v>
      </c>
      <c r="N883">
        <v>3</v>
      </c>
      <c r="O883" s="1" t="s">
        <v>32</v>
      </c>
      <c r="P883">
        <v>3</v>
      </c>
      <c r="Q883">
        <v>0</v>
      </c>
      <c r="R883">
        <v>1</v>
      </c>
      <c r="S883">
        <v>0</v>
      </c>
      <c r="T883">
        <v>0</v>
      </c>
      <c r="U883">
        <f>IF(openpolis_patrimoni_trasparenti_anno_2014[[#This Row],[totale_730_dichiarante]]&lt;&gt;0,LOG10(openpolis_patrimoni_trasparenti_anno_2014[[#This Row],[totale_730_dichiarante]]), 0)</f>
        <v>5.140718539993383</v>
      </c>
    </row>
    <row r="884" spans="1:21" x14ac:dyDescent="0.3">
      <c r="A884">
        <v>686492</v>
      </c>
      <c r="B884" s="1" t="s">
        <v>372</v>
      </c>
      <c r="C884" s="1" t="s">
        <v>1365</v>
      </c>
      <c r="D884" s="2">
        <v>17492</v>
      </c>
      <c r="E884" s="1" t="s">
        <v>29</v>
      </c>
      <c r="F884" s="1" t="s">
        <v>30</v>
      </c>
      <c r="G884" s="1" t="s">
        <v>25</v>
      </c>
      <c r="H884" s="1" t="s">
        <v>97</v>
      </c>
      <c r="I884" s="1" t="s">
        <v>115</v>
      </c>
      <c r="J884">
        <v>98712</v>
      </c>
      <c r="K884">
        <v>0</v>
      </c>
      <c r="L884">
        <v>0</v>
      </c>
      <c r="M884">
        <v>0</v>
      </c>
      <c r="N884">
        <v>3</v>
      </c>
      <c r="O884" s="1" t="s">
        <v>32</v>
      </c>
      <c r="P884">
        <v>2</v>
      </c>
      <c r="Q884">
        <v>1</v>
      </c>
      <c r="R884">
        <v>0</v>
      </c>
      <c r="S884">
        <v>0</v>
      </c>
      <c r="T884">
        <v>0</v>
      </c>
      <c r="U884">
        <f>IF(openpolis_patrimoni_trasparenti_anno_2014[[#This Row],[totale_730_dichiarante]]&lt;&gt;0,LOG10(openpolis_patrimoni_trasparenti_anno_2014[[#This Row],[totale_730_dichiarante]]), 0)</f>
        <v>4.9943699512207811</v>
      </c>
    </row>
    <row r="885" spans="1:21" x14ac:dyDescent="0.3">
      <c r="A885">
        <v>348294</v>
      </c>
      <c r="B885" s="1" t="s">
        <v>453</v>
      </c>
      <c r="C885" s="1" t="s">
        <v>728</v>
      </c>
      <c r="D885" s="2">
        <v>22075</v>
      </c>
      <c r="E885" s="1" t="s">
        <v>29</v>
      </c>
      <c r="F885" s="1" t="s">
        <v>30</v>
      </c>
      <c r="G885" s="1" t="s">
        <v>24</v>
      </c>
      <c r="H885" s="1" t="s">
        <v>24</v>
      </c>
      <c r="I885" s="1" t="s">
        <v>89</v>
      </c>
      <c r="J885">
        <v>85538</v>
      </c>
      <c r="K885">
        <v>0</v>
      </c>
      <c r="L885">
        <v>0</v>
      </c>
      <c r="M885">
        <v>0</v>
      </c>
      <c r="N885">
        <v>3</v>
      </c>
      <c r="O885" s="1" t="s">
        <v>32</v>
      </c>
      <c r="P885">
        <v>2</v>
      </c>
      <c r="Q885">
        <v>0</v>
      </c>
      <c r="R885">
        <v>1</v>
      </c>
      <c r="S885">
        <v>1</v>
      </c>
      <c r="T885">
        <v>0</v>
      </c>
      <c r="U885">
        <f>IF(openpolis_patrimoni_trasparenti_anno_2014[[#This Row],[totale_730_dichiarante]]&lt;&gt;0,LOG10(openpolis_patrimoni_trasparenti_anno_2014[[#This Row],[totale_730_dichiarante]]), 0)</f>
        <v>4.9321590916173301</v>
      </c>
    </row>
    <row r="886" spans="1:21" x14ac:dyDescent="0.3">
      <c r="A886">
        <v>241653</v>
      </c>
      <c r="B886" s="1" t="s">
        <v>608</v>
      </c>
      <c r="C886" s="1" t="s">
        <v>1366</v>
      </c>
      <c r="D886" s="2">
        <v>26871</v>
      </c>
      <c r="E886" s="1" t="s">
        <v>22</v>
      </c>
      <c r="F886" s="1" t="s">
        <v>30</v>
      </c>
      <c r="G886" s="1" t="s">
        <v>24</v>
      </c>
      <c r="H886" s="1" t="s">
        <v>24</v>
      </c>
      <c r="I886" s="1" t="s">
        <v>46</v>
      </c>
      <c r="J886">
        <v>83877</v>
      </c>
      <c r="K886">
        <v>21092</v>
      </c>
      <c r="L886">
        <v>0</v>
      </c>
      <c r="M886">
        <v>0</v>
      </c>
      <c r="N886">
        <v>1</v>
      </c>
      <c r="O886" s="1" t="s">
        <v>119</v>
      </c>
      <c r="P886">
        <v>1</v>
      </c>
      <c r="Q886">
        <v>0</v>
      </c>
      <c r="R886">
        <v>1</v>
      </c>
      <c r="S886">
        <v>0</v>
      </c>
      <c r="T886">
        <v>0</v>
      </c>
      <c r="U886">
        <f>IF(openpolis_patrimoni_trasparenti_anno_2014[[#This Row],[totale_730_dichiarante]]&lt;&gt;0,LOG10(openpolis_patrimoni_trasparenti_anno_2014[[#This Row],[totale_730_dichiarante]]), 0)</f>
        <v>4.9236428888087413</v>
      </c>
    </row>
    <row r="887" spans="1:21" x14ac:dyDescent="0.3">
      <c r="A887">
        <v>686682</v>
      </c>
      <c r="B887" s="1" t="s">
        <v>503</v>
      </c>
      <c r="C887" s="1" t="s">
        <v>1367</v>
      </c>
      <c r="D887" s="2">
        <v>20198</v>
      </c>
      <c r="E887" s="1" t="s">
        <v>29</v>
      </c>
      <c r="F887" s="1" t="s">
        <v>30</v>
      </c>
      <c r="G887" s="1" t="s">
        <v>24</v>
      </c>
      <c r="H887" s="1" t="s">
        <v>24</v>
      </c>
      <c r="I887" s="1" t="s">
        <v>46</v>
      </c>
      <c r="J887">
        <v>88558</v>
      </c>
      <c r="K887">
        <v>0</v>
      </c>
      <c r="L887">
        <v>0</v>
      </c>
      <c r="M887">
        <v>0</v>
      </c>
      <c r="N887">
        <v>3</v>
      </c>
      <c r="O887" s="1" t="s">
        <v>32</v>
      </c>
      <c r="P887">
        <v>2</v>
      </c>
      <c r="Q887">
        <v>0</v>
      </c>
      <c r="R887">
        <v>1</v>
      </c>
      <c r="S887">
        <v>0</v>
      </c>
      <c r="T887">
        <v>0</v>
      </c>
      <c r="U887">
        <f>IF(openpolis_patrimoni_trasparenti_anno_2014[[#This Row],[totale_730_dichiarante]]&lt;&gt;0,LOG10(openpolis_patrimoni_trasparenti_anno_2014[[#This Row],[totale_730_dichiarante]]), 0)</f>
        <v>4.9472277998447867</v>
      </c>
    </row>
    <row r="888" spans="1:21" x14ac:dyDescent="0.3">
      <c r="A888">
        <v>454</v>
      </c>
      <c r="B888" s="1" t="s">
        <v>1368</v>
      </c>
      <c r="C888" s="1" t="s">
        <v>1369</v>
      </c>
      <c r="D888" s="2">
        <v>22694</v>
      </c>
      <c r="E888" s="1" t="s">
        <v>156</v>
      </c>
      <c r="F888" s="1" t="s">
        <v>176</v>
      </c>
      <c r="G888" s="1" t="s">
        <v>177</v>
      </c>
      <c r="H888" s="1" t="s">
        <v>25</v>
      </c>
      <c r="I888" s="1" t="s">
        <v>46</v>
      </c>
      <c r="J888">
        <v>98471</v>
      </c>
      <c r="K888">
        <v>0</v>
      </c>
      <c r="L888">
        <v>0</v>
      </c>
      <c r="M888">
        <v>0</v>
      </c>
      <c r="N888">
        <v>2</v>
      </c>
      <c r="O888" s="1" t="s">
        <v>744</v>
      </c>
      <c r="P888">
        <v>2</v>
      </c>
      <c r="Q888">
        <v>0</v>
      </c>
      <c r="R888">
        <v>2</v>
      </c>
      <c r="S888">
        <v>0</v>
      </c>
      <c r="T888">
        <v>0</v>
      </c>
      <c r="U888">
        <f>IF(openpolis_patrimoni_trasparenti_anno_2014[[#This Row],[totale_730_dichiarante]]&lt;&gt;0,LOG10(openpolis_patrimoni_trasparenti_anno_2014[[#This Row],[totale_730_dichiarante]]), 0)</f>
        <v>4.9933083483213911</v>
      </c>
    </row>
    <row r="889" spans="1:21" x14ac:dyDescent="0.3">
      <c r="A889">
        <v>4770</v>
      </c>
      <c r="B889" s="1" t="s">
        <v>508</v>
      </c>
      <c r="C889" s="1" t="s">
        <v>1370</v>
      </c>
      <c r="D889" s="2">
        <v>22975</v>
      </c>
      <c r="E889" s="1" t="s">
        <v>75</v>
      </c>
      <c r="F889" s="1" t="s">
        <v>30</v>
      </c>
      <c r="G889" s="1" t="s">
        <v>24</v>
      </c>
      <c r="H889" s="1" t="s">
        <v>24</v>
      </c>
      <c r="I889" s="1" t="s">
        <v>46</v>
      </c>
      <c r="J889">
        <v>110763</v>
      </c>
      <c r="K889">
        <v>18915</v>
      </c>
      <c r="L889">
        <v>0</v>
      </c>
      <c r="M889">
        <v>0</v>
      </c>
      <c r="N889">
        <v>3</v>
      </c>
      <c r="O889" s="1" t="s">
        <v>32</v>
      </c>
      <c r="P889">
        <v>1</v>
      </c>
      <c r="Q889">
        <v>0</v>
      </c>
      <c r="R889">
        <v>1</v>
      </c>
      <c r="S889">
        <v>0</v>
      </c>
      <c r="T889">
        <v>1</v>
      </c>
      <c r="U889">
        <f>IF(openpolis_patrimoni_trasparenti_anno_2014[[#This Row],[totale_730_dichiarante]]&lt;&gt;0,LOG10(openpolis_patrimoni_trasparenti_anno_2014[[#This Row],[totale_730_dichiarante]]), 0)</f>
        <v>5.0443947100367126</v>
      </c>
    </row>
    <row r="890" spans="1:21" x14ac:dyDescent="0.3">
      <c r="A890">
        <v>494873</v>
      </c>
      <c r="B890" s="1" t="s">
        <v>207</v>
      </c>
      <c r="C890" s="1" t="s">
        <v>1371</v>
      </c>
      <c r="D890" s="2">
        <v>29139</v>
      </c>
      <c r="E890" s="1" t="s">
        <v>146</v>
      </c>
      <c r="F890" s="1" t="s">
        <v>30</v>
      </c>
      <c r="G890" s="1" t="s">
        <v>102</v>
      </c>
      <c r="H890" s="1" t="s">
        <v>102</v>
      </c>
      <c r="I890" s="1" t="s">
        <v>173</v>
      </c>
      <c r="J890">
        <v>80090</v>
      </c>
      <c r="K890">
        <v>0</v>
      </c>
      <c r="L890">
        <v>0</v>
      </c>
      <c r="M890">
        <v>0</v>
      </c>
      <c r="N890">
        <v>3</v>
      </c>
      <c r="O890" s="1" t="s">
        <v>32</v>
      </c>
      <c r="P890">
        <v>1</v>
      </c>
      <c r="Q890">
        <v>1</v>
      </c>
      <c r="R890">
        <v>0</v>
      </c>
      <c r="S890">
        <v>2</v>
      </c>
      <c r="T890">
        <v>0</v>
      </c>
      <c r="U890">
        <f>IF(openpolis_patrimoni_trasparenti_anno_2014[[#This Row],[totale_730_dichiarante]]&lt;&gt;0,LOG10(openpolis_patrimoni_trasparenti_anno_2014[[#This Row],[totale_730_dichiarante]]), 0)</f>
        <v>4.9035782936630543</v>
      </c>
    </row>
    <row r="891" spans="1:21" x14ac:dyDescent="0.3">
      <c r="A891">
        <v>5148</v>
      </c>
      <c r="B891" s="1" t="s">
        <v>355</v>
      </c>
      <c r="C891" s="1" t="s">
        <v>1372</v>
      </c>
      <c r="D891" s="2">
        <v>21502</v>
      </c>
      <c r="E891" s="1" t="s">
        <v>49</v>
      </c>
      <c r="F891" s="1" t="s">
        <v>30</v>
      </c>
      <c r="G891" s="1" t="s">
        <v>24</v>
      </c>
      <c r="H891" s="1" t="s">
        <v>127</v>
      </c>
      <c r="I891" s="1" t="s">
        <v>393</v>
      </c>
      <c r="J891">
        <v>96930</v>
      </c>
      <c r="K891">
        <v>0</v>
      </c>
      <c r="L891">
        <v>0</v>
      </c>
      <c r="M891">
        <v>0</v>
      </c>
      <c r="N891">
        <v>3</v>
      </c>
      <c r="O891" s="1" t="s">
        <v>32</v>
      </c>
      <c r="P891">
        <v>1</v>
      </c>
      <c r="Q891">
        <v>3</v>
      </c>
      <c r="R891">
        <v>1</v>
      </c>
      <c r="S891">
        <v>0</v>
      </c>
      <c r="T891">
        <v>0</v>
      </c>
      <c r="U891">
        <f>IF(openpolis_patrimoni_trasparenti_anno_2014[[#This Row],[totale_730_dichiarante]]&lt;&gt;0,LOG10(openpolis_patrimoni_trasparenti_anno_2014[[#This Row],[totale_730_dichiarante]]), 0)</f>
        <v>4.9864582127373067</v>
      </c>
    </row>
    <row r="892" spans="1:21" x14ac:dyDescent="0.3">
      <c r="A892">
        <v>686763</v>
      </c>
      <c r="B892" s="1" t="s">
        <v>305</v>
      </c>
      <c r="C892" s="1" t="s">
        <v>1373</v>
      </c>
      <c r="D892" s="2">
        <v>24214</v>
      </c>
      <c r="E892" s="1" t="s">
        <v>22</v>
      </c>
      <c r="F892" s="1" t="s">
        <v>30</v>
      </c>
      <c r="G892" s="1" t="s">
        <v>24</v>
      </c>
      <c r="H892" s="1" t="s">
        <v>127</v>
      </c>
      <c r="I892" s="1" t="s">
        <v>50</v>
      </c>
      <c r="J892">
        <v>106363</v>
      </c>
      <c r="K892">
        <v>21530</v>
      </c>
      <c r="L892">
        <v>0</v>
      </c>
      <c r="M892">
        <v>0</v>
      </c>
      <c r="N892">
        <v>1</v>
      </c>
      <c r="O892" s="1" t="s">
        <v>119</v>
      </c>
      <c r="P892">
        <v>1</v>
      </c>
      <c r="Q892">
        <v>1</v>
      </c>
      <c r="R892">
        <v>0</v>
      </c>
      <c r="S892">
        <v>0</v>
      </c>
      <c r="T892">
        <v>0</v>
      </c>
      <c r="U892">
        <f>IF(openpolis_patrimoni_trasparenti_anno_2014[[#This Row],[totale_730_dichiarante]]&lt;&gt;0,LOG10(openpolis_patrimoni_trasparenti_anno_2014[[#This Row],[totale_730_dichiarante]]), 0)</f>
        <v>5.0267905782371098</v>
      </c>
    </row>
    <row r="893" spans="1:21" x14ac:dyDescent="0.3">
      <c r="A893">
        <v>455</v>
      </c>
      <c r="B893" s="1" t="s">
        <v>1374</v>
      </c>
      <c r="C893" s="1" t="s">
        <v>1375</v>
      </c>
      <c r="D893" s="2">
        <v>24558</v>
      </c>
      <c r="E893" s="1" t="s">
        <v>35</v>
      </c>
      <c r="F893" s="1" t="s">
        <v>30</v>
      </c>
      <c r="G893" s="1" t="s">
        <v>36</v>
      </c>
      <c r="H893" s="1" t="s">
        <v>37</v>
      </c>
      <c r="I893" s="1" t="s">
        <v>50</v>
      </c>
      <c r="J893">
        <v>216305</v>
      </c>
      <c r="K893">
        <v>0</v>
      </c>
      <c r="L893">
        <v>0</v>
      </c>
      <c r="M893">
        <v>0</v>
      </c>
      <c r="N893">
        <v>3</v>
      </c>
      <c r="O893" s="1" t="s">
        <v>32</v>
      </c>
      <c r="P893">
        <v>2</v>
      </c>
      <c r="Q893">
        <v>1</v>
      </c>
      <c r="R893">
        <v>1</v>
      </c>
      <c r="S893">
        <v>0</v>
      </c>
      <c r="T893">
        <v>0</v>
      </c>
      <c r="U893">
        <f>IF(openpolis_patrimoni_trasparenti_anno_2014[[#This Row],[totale_730_dichiarante]]&lt;&gt;0,LOG10(openpolis_patrimoni_trasparenti_anno_2014[[#This Row],[totale_730_dichiarante]]), 0)</f>
        <v>5.3350665584927759</v>
      </c>
    </row>
    <row r="894" spans="1:21" x14ac:dyDescent="0.3">
      <c r="A894">
        <v>161948</v>
      </c>
      <c r="B894" s="1" t="s">
        <v>436</v>
      </c>
      <c r="C894" s="1" t="s">
        <v>1376</v>
      </c>
      <c r="D894" s="2">
        <v>27219</v>
      </c>
      <c r="E894" s="1" t="s">
        <v>35</v>
      </c>
      <c r="F894" s="1" t="s">
        <v>30</v>
      </c>
      <c r="G894" s="1" t="s">
        <v>283</v>
      </c>
      <c r="H894" s="1" t="s">
        <v>54</v>
      </c>
      <c r="I894" s="1" t="s">
        <v>284</v>
      </c>
      <c r="J894">
        <v>100109</v>
      </c>
      <c r="K894">
        <v>0</v>
      </c>
      <c r="L894">
        <v>0</v>
      </c>
      <c r="M894">
        <v>0</v>
      </c>
      <c r="N894">
        <v>3</v>
      </c>
      <c r="O894" s="1" t="s">
        <v>32</v>
      </c>
      <c r="P894">
        <v>0</v>
      </c>
      <c r="Q894">
        <v>1</v>
      </c>
      <c r="R894">
        <v>1</v>
      </c>
      <c r="S894">
        <v>1</v>
      </c>
      <c r="T894">
        <v>1</v>
      </c>
      <c r="U894">
        <f>IF(openpolis_patrimoni_trasparenti_anno_2014[[#This Row],[totale_730_dichiarante]]&lt;&gt;0,LOG10(openpolis_patrimoni_trasparenti_anno_2014[[#This Row],[totale_730_dichiarante]]), 0)</f>
        <v>5.0004731231799591</v>
      </c>
    </row>
    <row r="895" spans="1:21" x14ac:dyDescent="0.3">
      <c r="A895">
        <v>687261</v>
      </c>
      <c r="B895" s="1" t="s">
        <v>207</v>
      </c>
      <c r="C895" s="1" t="s">
        <v>1377</v>
      </c>
      <c r="D895" s="2">
        <v>32105</v>
      </c>
      <c r="E895" s="1" t="s">
        <v>75</v>
      </c>
      <c r="F895" s="1" t="s">
        <v>30</v>
      </c>
      <c r="G895" s="1" t="s">
        <v>24</v>
      </c>
      <c r="H895" s="1" t="s">
        <v>24</v>
      </c>
      <c r="I895" s="1" t="s">
        <v>55</v>
      </c>
      <c r="J895">
        <v>78657</v>
      </c>
      <c r="K895">
        <v>0</v>
      </c>
      <c r="L895">
        <v>0</v>
      </c>
      <c r="M895">
        <v>0</v>
      </c>
      <c r="N895">
        <v>3</v>
      </c>
      <c r="O895" s="1" t="s">
        <v>32</v>
      </c>
      <c r="P895">
        <v>2</v>
      </c>
      <c r="Q895">
        <v>0</v>
      </c>
      <c r="R895">
        <v>1</v>
      </c>
      <c r="S895">
        <v>2</v>
      </c>
      <c r="T895">
        <v>0</v>
      </c>
      <c r="U895">
        <f>IF(openpolis_patrimoni_trasparenti_anno_2014[[#This Row],[totale_730_dichiarante]]&lt;&gt;0,LOG10(openpolis_patrimoni_trasparenti_anno_2014[[#This Row],[totale_730_dichiarante]]), 0)</f>
        <v>4.895737378276479</v>
      </c>
    </row>
    <row r="896" spans="1:21" x14ac:dyDescent="0.3">
      <c r="A896">
        <v>171574</v>
      </c>
      <c r="B896" s="1" t="s">
        <v>403</v>
      </c>
      <c r="C896" s="1" t="s">
        <v>1378</v>
      </c>
      <c r="D896" s="2">
        <v>29492</v>
      </c>
      <c r="E896" s="1" t="s">
        <v>49</v>
      </c>
      <c r="F896" s="1" t="s">
        <v>30</v>
      </c>
      <c r="G896" s="1" t="s">
        <v>24</v>
      </c>
      <c r="H896" s="1" t="s">
        <v>24</v>
      </c>
      <c r="I896" s="1" t="s">
        <v>178</v>
      </c>
      <c r="J896">
        <v>105317</v>
      </c>
      <c r="K896">
        <v>0</v>
      </c>
      <c r="L896">
        <v>0</v>
      </c>
      <c r="M896">
        <v>0</v>
      </c>
      <c r="N896">
        <v>2</v>
      </c>
      <c r="O896" s="1" t="s">
        <v>43</v>
      </c>
      <c r="P896">
        <v>1</v>
      </c>
      <c r="Q896">
        <v>0</v>
      </c>
      <c r="R896">
        <v>0</v>
      </c>
      <c r="S896">
        <v>2</v>
      </c>
      <c r="T896">
        <v>1</v>
      </c>
      <c r="U896">
        <f>IF(openpolis_patrimoni_trasparenti_anno_2014[[#This Row],[totale_730_dichiarante]]&lt;&gt;0,LOG10(openpolis_patrimoni_trasparenti_anno_2014[[#This Row],[totale_730_dichiarante]]), 0)</f>
        <v>5.0224984795452903</v>
      </c>
    </row>
    <row r="897" spans="1:21" x14ac:dyDescent="0.3">
      <c r="A897">
        <v>767</v>
      </c>
      <c r="B897" s="1" t="s">
        <v>1379</v>
      </c>
      <c r="C897" s="1" t="s">
        <v>1380</v>
      </c>
      <c r="D897" s="2">
        <v>22825</v>
      </c>
      <c r="E897" s="1" t="s">
        <v>136</v>
      </c>
      <c r="F897" s="1" t="s">
        <v>30</v>
      </c>
      <c r="G897" s="1" t="s">
        <v>36</v>
      </c>
      <c r="H897" s="1" t="s">
        <v>37</v>
      </c>
      <c r="I897" s="1" t="s">
        <v>178</v>
      </c>
      <c r="J897">
        <v>117743</v>
      </c>
      <c r="K897">
        <v>0</v>
      </c>
      <c r="L897">
        <v>0</v>
      </c>
      <c r="M897">
        <v>0</v>
      </c>
      <c r="N897">
        <v>3</v>
      </c>
      <c r="O897" s="1" t="s">
        <v>32</v>
      </c>
      <c r="P897">
        <v>2</v>
      </c>
      <c r="Q897">
        <v>0</v>
      </c>
      <c r="R897">
        <v>2</v>
      </c>
      <c r="S897">
        <v>0</v>
      </c>
      <c r="T897">
        <v>0</v>
      </c>
      <c r="U897">
        <f>IF(openpolis_patrimoni_trasparenti_anno_2014[[#This Row],[totale_730_dichiarante]]&lt;&gt;0,LOG10(openpolis_patrimoni_trasparenti_anno_2014[[#This Row],[totale_730_dichiarante]]), 0)</f>
        <v>5.0709350971025078</v>
      </c>
    </row>
    <row r="898" spans="1:21" x14ac:dyDescent="0.3">
      <c r="A898">
        <v>687359</v>
      </c>
      <c r="B898" s="1" t="s">
        <v>508</v>
      </c>
      <c r="C898" s="1" t="s">
        <v>1381</v>
      </c>
      <c r="D898" s="2">
        <v>17842</v>
      </c>
      <c r="E898" s="1" t="s">
        <v>136</v>
      </c>
      <c r="F898" s="1" t="s">
        <v>30</v>
      </c>
      <c r="G898" s="1" t="s">
        <v>25</v>
      </c>
      <c r="H898" s="1" t="s">
        <v>97</v>
      </c>
      <c r="I898" s="1" t="s">
        <v>159</v>
      </c>
      <c r="J898">
        <v>231532</v>
      </c>
      <c r="K898">
        <v>0</v>
      </c>
      <c r="L898">
        <v>0</v>
      </c>
      <c r="M898">
        <v>0</v>
      </c>
      <c r="N898">
        <v>3</v>
      </c>
      <c r="O898" s="1" t="s">
        <v>32</v>
      </c>
      <c r="P898">
        <v>2</v>
      </c>
      <c r="Q898">
        <v>0</v>
      </c>
      <c r="R898">
        <v>1</v>
      </c>
      <c r="S898">
        <v>0</v>
      </c>
      <c r="T898">
        <v>0</v>
      </c>
      <c r="U898">
        <f>IF(openpolis_patrimoni_trasparenti_anno_2014[[#This Row],[totale_730_dichiarante]]&lt;&gt;0,LOG10(openpolis_patrimoni_trasparenti_anno_2014[[#This Row],[totale_730_dichiarante]]), 0)</f>
        <v>5.3646110232718831</v>
      </c>
    </row>
    <row r="899" spans="1:21" x14ac:dyDescent="0.3">
      <c r="A899">
        <v>416</v>
      </c>
      <c r="B899" s="1" t="s">
        <v>1382</v>
      </c>
      <c r="C899" s="1" t="s">
        <v>1018</v>
      </c>
      <c r="D899" s="2">
        <v>23322</v>
      </c>
      <c r="E899" s="1" t="s">
        <v>86</v>
      </c>
      <c r="F899" s="1" t="s">
        <v>30</v>
      </c>
      <c r="G899" s="1" t="s">
        <v>24</v>
      </c>
      <c r="H899" s="1" t="s">
        <v>24</v>
      </c>
      <c r="I899" s="1" t="s">
        <v>118</v>
      </c>
      <c r="J899">
        <v>97283</v>
      </c>
      <c r="K899">
        <v>0</v>
      </c>
      <c r="L899">
        <v>0</v>
      </c>
      <c r="M899">
        <v>0</v>
      </c>
      <c r="N899">
        <v>2</v>
      </c>
      <c r="O899" s="1" t="s">
        <v>43</v>
      </c>
      <c r="P899">
        <v>3</v>
      </c>
      <c r="Q899">
        <v>0</v>
      </c>
      <c r="R899">
        <v>1</v>
      </c>
      <c r="S899">
        <v>0</v>
      </c>
      <c r="T899">
        <v>0</v>
      </c>
      <c r="U899">
        <f>IF(openpolis_patrimoni_trasparenti_anno_2014[[#This Row],[totale_730_dichiarante]]&lt;&gt;0,LOG10(openpolis_patrimoni_trasparenti_anno_2014[[#This Row],[totale_730_dichiarante]]), 0)</f>
        <v>4.9880369548496759</v>
      </c>
    </row>
    <row r="900" spans="1:21" x14ac:dyDescent="0.3">
      <c r="A900">
        <v>785</v>
      </c>
      <c r="B900" s="1" t="s">
        <v>1383</v>
      </c>
      <c r="C900" s="1" t="s">
        <v>299</v>
      </c>
      <c r="D900" s="2">
        <v>22232</v>
      </c>
      <c r="E900" s="1" t="s">
        <v>49</v>
      </c>
      <c r="F900" s="1" t="s">
        <v>30</v>
      </c>
      <c r="G900" s="1" t="s">
        <v>36</v>
      </c>
      <c r="H900" s="1" t="s">
        <v>37</v>
      </c>
      <c r="I900" s="1" t="s">
        <v>194</v>
      </c>
      <c r="J900">
        <v>115841</v>
      </c>
      <c r="K900">
        <v>0</v>
      </c>
      <c r="L900">
        <v>0</v>
      </c>
      <c r="M900">
        <v>0</v>
      </c>
      <c r="N900">
        <v>3</v>
      </c>
      <c r="O900" s="1" t="s">
        <v>32</v>
      </c>
      <c r="P900">
        <v>2</v>
      </c>
      <c r="Q900">
        <v>0</v>
      </c>
      <c r="R900">
        <v>1</v>
      </c>
      <c r="S900">
        <v>0</v>
      </c>
      <c r="T900">
        <v>0</v>
      </c>
      <c r="U900">
        <f>IF(openpolis_patrimoni_trasparenti_anno_2014[[#This Row],[totale_730_dichiarante]]&lt;&gt;0,LOG10(openpolis_patrimoni_trasparenti_anno_2014[[#This Row],[totale_730_dichiarante]]), 0)</f>
        <v>5.0638622979259944</v>
      </c>
    </row>
    <row r="901" spans="1:21" x14ac:dyDescent="0.3">
      <c r="A901">
        <v>670</v>
      </c>
      <c r="B901" s="1" t="s">
        <v>877</v>
      </c>
      <c r="C901" s="1" t="s">
        <v>1384</v>
      </c>
      <c r="D901" s="2">
        <v>22130</v>
      </c>
      <c r="E901" s="1" t="s">
        <v>140</v>
      </c>
      <c r="F901" s="1" t="s">
        <v>30</v>
      </c>
      <c r="G901" s="1" t="s">
        <v>25</v>
      </c>
      <c r="H901" s="1" t="s">
        <v>876</v>
      </c>
      <c r="I901" s="1" t="s">
        <v>50</v>
      </c>
      <c r="J901">
        <v>98471</v>
      </c>
      <c r="K901">
        <v>0</v>
      </c>
      <c r="L901">
        <v>0</v>
      </c>
      <c r="M901">
        <v>0</v>
      </c>
      <c r="N901">
        <v>3</v>
      </c>
      <c r="O901" s="1" t="s">
        <v>32</v>
      </c>
      <c r="P901">
        <v>2</v>
      </c>
      <c r="Q901">
        <v>0</v>
      </c>
      <c r="R901">
        <v>1</v>
      </c>
      <c r="S901">
        <v>0</v>
      </c>
      <c r="T901">
        <v>0</v>
      </c>
      <c r="U901">
        <f>IF(openpolis_patrimoni_trasparenti_anno_2014[[#This Row],[totale_730_dichiarante]]&lt;&gt;0,LOG10(openpolis_patrimoni_trasparenti_anno_2014[[#This Row],[totale_730_dichiarante]]), 0)</f>
        <v>4.9933083483213911</v>
      </c>
    </row>
    <row r="902" spans="1:21" x14ac:dyDescent="0.3">
      <c r="A902">
        <v>741</v>
      </c>
      <c r="B902" s="1" t="s">
        <v>1385</v>
      </c>
      <c r="C902" s="1" t="s">
        <v>1386</v>
      </c>
      <c r="D902" s="2">
        <v>20422</v>
      </c>
      <c r="E902" s="1" t="s">
        <v>136</v>
      </c>
      <c r="F902" s="1" t="s">
        <v>30</v>
      </c>
      <c r="G902" s="1" t="s">
        <v>25</v>
      </c>
      <c r="H902" s="1" t="s">
        <v>876</v>
      </c>
      <c r="I902" s="1" t="s">
        <v>264</v>
      </c>
      <c r="J902">
        <v>101585</v>
      </c>
      <c r="K902">
        <v>0</v>
      </c>
      <c r="L902">
        <v>0</v>
      </c>
      <c r="M902">
        <v>0</v>
      </c>
      <c r="N902">
        <v>3</v>
      </c>
      <c r="O902" s="1" t="s">
        <v>32</v>
      </c>
      <c r="P902">
        <v>3</v>
      </c>
      <c r="Q902">
        <v>0</v>
      </c>
      <c r="R902">
        <v>0</v>
      </c>
      <c r="S902">
        <v>0</v>
      </c>
      <c r="T902">
        <v>0</v>
      </c>
      <c r="U902">
        <f>IF(openpolis_patrimoni_trasparenti_anno_2014[[#This Row],[totale_730_dichiarante]]&lt;&gt;0,LOG10(openpolis_patrimoni_trasparenti_anno_2014[[#This Row],[totale_730_dichiarante]]), 0)</f>
        <v>5.0068295849344855</v>
      </c>
    </row>
    <row r="903" spans="1:21" x14ac:dyDescent="0.3">
      <c r="A903">
        <v>332683</v>
      </c>
      <c r="B903" s="1" t="s">
        <v>242</v>
      </c>
      <c r="C903" s="1" t="s">
        <v>1387</v>
      </c>
      <c r="D903" s="2">
        <v>24915</v>
      </c>
      <c r="E903" s="1" t="s">
        <v>29</v>
      </c>
      <c r="F903" s="1" t="s">
        <v>30</v>
      </c>
      <c r="G903" s="1" t="s">
        <v>24</v>
      </c>
      <c r="H903" s="1" t="s">
        <v>24</v>
      </c>
      <c r="I903" s="1" t="s">
        <v>115</v>
      </c>
      <c r="J903">
        <v>121841</v>
      </c>
      <c r="K903">
        <v>0</v>
      </c>
      <c r="L903">
        <v>0</v>
      </c>
      <c r="M903">
        <v>0</v>
      </c>
      <c r="N903">
        <v>2</v>
      </c>
      <c r="O903" s="1" t="s">
        <v>43</v>
      </c>
      <c r="P903">
        <v>2</v>
      </c>
      <c r="Q903">
        <v>0</v>
      </c>
      <c r="R903">
        <v>2</v>
      </c>
      <c r="S903">
        <v>0</v>
      </c>
      <c r="T903">
        <v>0</v>
      </c>
      <c r="U903">
        <f>IF(openpolis_patrimoni_trasparenti_anno_2014[[#This Row],[totale_730_dichiarante]]&lt;&gt;0,LOG10(openpolis_patrimoni_trasparenti_anno_2014[[#This Row],[totale_730_dichiarante]]), 0)</f>
        <v>5.0857934547789032</v>
      </c>
    </row>
    <row r="904" spans="1:21" x14ac:dyDescent="0.3">
      <c r="A904">
        <v>232</v>
      </c>
      <c r="B904" s="1" t="s">
        <v>762</v>
      </c>
      <c r="C904" s="1" t="s">
        <v>163</v>
      </c>
      <c r="D904" s="2">
        <v>26914</v>
      </c>
      <c r="E904" s="1" t="s">
        <v>22</v>
      </c>
      <c r="F904" s="1" t="s">
        <v>30</v>
      </c>
      <c r="G904" s="1" t="s">
        <v>24</v>
      </c>
      <c r="H904" s="1" t="s">
        <v>24</v>
      </c>
      <c r="I904" s="1" t="s">
        <v>115</v>
      </c>
      <c r="J904">
        <v>113126</v>
      </c>
      <c r="K904">
        <v>0</v>
      </c>
      <c r="L904">
        <v>0</v>
      </c>
      <c r="M904">
        <v>0</v>
      </c>
      <c r="N904">
        <v>3</v>
      </c>
      <c r="O904" s="1" t="s">
        <v>32</v>
      </c>
      <c r="P904">
        <v>2</v>
      </c>
      <c r="Q904">
        <v>0</v>
      </c>
      <c r="R904">
        <v>2</v>
      </c>
      <c r="S904">
        <v>0</v>
      </c>
      <c r="T904">
        <v>0</v>
      </c>
      <c r="U904">
        <f>IF(openpolis_patrimoni_trasparenti_anno_2014[[#This Row],[totale_730_dichiarante]]&lt;&gt;0,LOG10(openpolis_patrimoni_trasparenti_anno_2014[[#This Row],[totale_730_dichiarante]]), 0)</f>
        <v>5.0535624312635345</v>
      </c>
    </row>
    <row r="905" spans="1:21" x14ac:dyDescent="0.3">
      <c r="A905">
        <v>241529</v>
      </c>
      <c r="B905" s="1" t="s">
        <v>1388</v>
      </c>
      <c r="C905" s="1" t="s">
        <v>1389</v>
      </c>
      <c r="D905" s="2">
        <v>18559</v>
      </c>
      <c r="E905" s="1" t="s">
        <v>49</v>
      </c>
      <c r="F905" s="1" t="s">
        <v>30</v>
      </c>
      <c r="G905" s="1" t="s">
        <v>24</v>
      </c>
      <c r="H905" s="1" t="s">
        <v>24</v>
      </c>
      <c r="I905" s="1" t="s">
        <v>46</v>
      </c>
      <c r="J905">
        <v>71122</v>
      </c>
      <c r="K905">
        <v>41989</v>
      </c>
      <c r="L905">
        <v>0</v>
      </c>
      <c r="M905">
        <v>0</v>
      </c>
      <c r="N905">
        <v>3</v>
      </c>
      <c r="O905" s="1" t="s">
        <v>61</v>
      </c>
      <c r="P905">
        <v>2</v>
      </c>
      <c r="Q905">
        <v>1</v>
      </c>
      <c r="R905">
        <v>0</v>
      </c>
      <c r="S905">
        <v>0</v>
      </c>
      <c r="T905">
        <v>0</v>
      </c>
      <c r="U905">
        <f>IF(openpolis_patrimoni_trasparenti_anno_2014[[#This Row],[totale_730_dichiarante]]&lt;&gt;0,LOG10(openpolis_patrimoni_trasparenti_anno_2014[[#This Row],[totale_730_dichiarante]]), 0)</f>
        <v>4.8520039607961145</v>
      </c>
    </row>
    <row r="906" spans="1:21" x14ac:dyDescent="0.3">
      <c r="A906">
        <v>9270</v>
      </c>
      <c r="B906" s="1" t="s">
        <v>51</v>
      </c>
      <c r="C906" s="1" t="s">
        <v>1390</v>
      </c>
      <c r="D906" s="2">
        <v>26759</v>
      </c>
      <c r="E906" s="1" t="s">
        <v>63</v>
      </c>
      <c r="F906" s="1" t="s">
        <v>30</v>
      </c>
      <c r="G906" s="1" t="s">
        <v>53</v>
      </c>
      <c r="H906" s="1" t="s">
        <v>53</v>
      </c>
      <c r="I906" s="1" t="s">
        <v>194</v>
      </c>
      <c r="J906">
        <v>52919</v>
      </c>
      <c r="K906">
        <v>0</v>
      </c>
      <c r="L906">
        <v>0</v>
      </c>
      <c r="M906">
        <v>0</v>
      </c>
      <c r="N906">
        <v>3</v>
      </c>
      <c r="O906" s="1" t="s">
        <v>61</v>
      </c>
      <c r="P906">
        <v>2</v>
      </c>
      <c r="Q906">
        <v>0</v>
      </c>
      <c r="R906">
        <v>2</v>
      </c>
      <c r="S906">
        <v>0</v>
      </c>
      <c r="T906">
        <v>0</v>
      </c>
      <c r="U906">
        <f>IF(openpolis_patrimoni_trasparenti_anno_2014[[#This Row],[totale_730_dichiarante]]&lt;&gt;0,LOG10(openpolis_patrimoni_trasparenti_anno_2014[[#This Row],[totale_730_dichiarante]]), 0)</f>
        <v>4.7236116288150614</v>
      </c>
    </row>
    <row r="907" spans="1:21" x14ac:dyDescent="0.3">
      <c r="A907">
        <v>274892</v>
      </c>
      <c r="B907" s="1" t="s">
        <v>51</v>
      </c>
      <c r="C907" s="1" t="s">
        <v>1391</v>
      </c>
      <c r="D907" s="2">
        <v>25336</v>
      </c>
      <c r="E907" s="1" t="s">
        <v>35</v>
      </c>
      <c r="F907" s="1" t="s">
        <v>30</v>
      </c>
      <c r="G907" s="1" t="s">
        <v>167</v>
      </c>
      <c r="H907" s="1" t="s">
        <v>37</v>
      </c>
      <c r="I907" s="1" t="s">
        <v>42</v>
      </c>
      <c r="J907">
        <v>66288</v>
      </c>
      <c r="K907">
        <v>0</v>
      </c>
      <c r="L907">
        <v>0</v>
      </c>
      <c r="M907">
        <v>0</v>
      </c>
      <c r="N907">
        <v>3</v>
      </c>
      <c r="O907" s="1" t="s">
        <v>61</v>
      </c>
      <c r="P907">
        <v>1</v>
      </c>
      <c r="Q907">
        <v>0</v>
      </c>
      <c r="R907">
        <v>1</v>
      </c>
      <c r="S907">
        <v>1</v>
      </c>
      <c r="T907">
        <v>1</v>
      </c>
      <c r="U907">
        <f>IF(openpolis_patrimoni_trasparenti_anno_2014[[#This Row],[totale_730_dichiarante]]&lt;&gt;0,LOG10(openpolis_patrimoni_trasparenti_anno_2014[[#This Row],[totale_730_dichiarante]]), 0)</f>
        <v>4.8214349159542182</v>
      </c>
    </row>
    <row r="908" spans="1:21" x14ac:dyDescent="0.3">
      <c r="A908">
        <v>8760</v>
      </c>
      <c r="B908" s="1" t="s">
        <v>305</v>
      </c>
      <c r="C908" s="1" t="s">
        <v>1264</v>
      </c>
      <c r="D908" s="2">
        <v>25372</v>
      </c>
      <c r="E908" s="1" t="s">
        <v>49</v>
      </c>
      <c r="F908" s="1" t="s">
        <v>67</v>
      </c>
      <c r="G908" s="1" t="s">
        <v>24</v>
      </c>
      <c r="H908" s="1" t="s">
        <v>24</v>
      </c>
      <c r="I908" s="1" t="s">
        <v>69</v>
      </c>
      <c r="J908">
        <v>105742</v>
      </c>
      <c r="K908">
        <v>0</v>
      </c>
      <c r="L908">
        <v>0</v>
      </c>
      <c r="M908">
        <v>0</v>
      </c>
      <c r="N908">
        <v>2</v>
      </c>
      <c r="O908" s="1" t="s">
        <v>43</v>
      </c>
      <c r="P908">
        <v>1</v>
      </c>
      <c r="Q908">
        <v>0</v>
      </c>
      <c r="R908">
        <v>3</v>
      </c>
      <c r="S908">
        <v>0</v>
      </c>
      <c r="T908">
        <v>0</v>
      </c>
      <c r="U908">
        <f>IF(openpolis_patrimoni_trasparenti_anno_2014[[#This Row],[totale_730_dichiarante]]&lt;&gt;0,LOG10(openpolis_patrimoni_trasparenti_anno_2014[[#This Row],[totale_730_dichiarante]]), 0)</f>
        <v>5.0242475203754058</v>
      </c>
    </row>
    <row r="909" spans="1:21" x14ac:dyDescent="0.3">
      <c r="A909">
        <v>686838</v>
      </c>
      <c r="B909" s="1" t="s">
        <v>141</v>
      </c>
      <c r="C909" s="1" t="s">
        <v>1392</v>
      </c>
      <c r="D909" s="2">
        <v>25483</v>
      </c>
      <c r="E909" s="1" t="s">
        <v>29</v>
      </c>
      <c r="F909" s="1" t="s">
        <v>67</v>
      </c>
      <c r="G909" s="1" t="s">
        <v>102</v>
      </c>
      <c r="H909" s="1" t="s">
        <v>54</v>
      </c>
      <c r="I909" s="1" t="s">
        <v>271</v>
      </c>
      <c r="J909">
        <v>84021</v>
      </c>
      <c r="K909">
        <v>0</v>
      </c>
      <c r="L909">
        <v>0</v>
      </c>
      <c r="M909">
        <v>0</v>
      </c>
      <c r="N909">
        <v>3</v>
      </c>
      <c r="O909" s="1" t="s">
        <v>32</v>
      </c>
      <c r="P909">
        <v>2</v>
      </c>
      <c r="Q909">
        <v>0</v>
      </c>
      <c r="R909">
        <v>1</v>
      </c>
      <c r="S909">
        <v>0</v>
      </c>
      <c r="T909">
        <v>0</v>
      </c>
      <c r="U909">
        <f>IF(openpolis_patrimoni_trasparenti_anno_2014[[#This Row],[totale_730_dichiarante]]&lt;&gt;0,LOG10(openpolis_patrimoni_trasparenti_anno_2014[[#This Row],[totale_730_dichiarante]]), 0)</f>
        <v>4.924387846112916</v>
      </c>
    </row>
    <row r="910" spans="1:21" x14ac:dyDescent="0.3">
      <c r="A910">
        <v>686845</v>
      </c>
      <c r="B910" s="1" t="s">
        <v>582</v>
      </c>
      <c r="C910" s="1" t="s">
        <v>1393</v>
      </c>
      <c r="D910" s="2">
        <v>24892</v>
      </c>
      <c r="E910" s="1" t="s">
        <v>63</v>
      </c>
      <c r="F910" s="1" t="s">
        <v>67</v>
      </c>
      <c r="G910" s="1" t="s">
        <v>102</v>
      </c>
      <c r="H910" s="1" t="s">
        <v>314</v>
      </c>
      <c r="I910" s="1" t="s">
        <v>271</v>
      </c>
      <c r="J910">
        <v>81056</v>
      </c>
      <c r="K910">
        <v>1522</v>
      </c>
      <c r="L910">
        <v>0</v>
      </c>
      <c r="M910">
        <v>0</v>
      </c>
      <c r="N910">
        <v>3</v>
      </c>
      <c r="O910" s="1" t="s">
        <v>32</v>
      </c>
      <c r="P910">
        <v>1</v>
      </c>
      <c r="Q910">
        <v>0</v>
      </c>
      <c r="R910">
        <v>1</v>
      </c>
      <c r="S910">
        <v>0</v>
      </c>
      <c r="T910">
        <v>0</v>
      </c>
      <c r="U910">
        <f>IF(openpolis_patrimoni_trasparenti_anno_2014[[#This Row],[totale_730_dichiarante]]&lt;&gt;0,LOG10(openpolis_patrimoni_trasparenti_anno_2014[[#This Row],[totale_730_dichiarante]]), 0)</f>
        <v>4.9087851681104535</v>
      </c>
    </row>
    <row r="911" spans="1:21" x14ac:dyDescent="0.3">
      <c r="A911">
        <v>237135</v>
      </c>
      <c r="B911" s="1" t="s">
        <v>1394</v>
      </c>
      <c r="C911" s="1" t="s">
        <v>1395</v>
      </c>
      <c r="D911" s="2">
        <v>24558</v>
      </c>
      <c r="E911" s="1" t="s">
        <v>49</v>
      </c>
      <c r="F911" s="1" t="s">
        <v>67</v>
      </c>
      <c r="G911" s="1" t="s">
        <v>53</v>
      </c>
      <c r="H911" s="1" t="s">
        <v>53</v>
      </c>
      <c r="I911" s="1" t="s">
        <v>271</v>
      </c>
      <c r="J911">
        <v>97927</v>
      </c>
      <c r="K911">
        <v>0</v>
      </c>
      <c r="L911">
        <v>0</v>
      </c>
      <c r="M911">
        <v>0</v>
      </c>
      <c r="N911">
        <v>3</v>
      </c>
      <c r="O911" s="1" t="s">
        <v>32</v>
      </c>
      <c r="P911">
        <v>1</v>
      </c>
      <c r="Q911">
        <v>0</v>
      </c>
      <c r="R911">
        <v>1</v>
      </c>
      <c r="S911">
        <v>1</v>
      </c>
      <c r="T911">
        <v>1</v>
      </c>
      <c r="U911">
        <f>IF(openpolis_patrimoni_trasparenti_anno_2014[[#This Row],[totale_730_dichiarante]]&lt;&gt;0,LOG10(openpolis_patrimoni_trasparenti_anno_2014[[#This Row],[totale_730_dichiarante]]), 0)</f>
        <v>4.9909024500702381</v>
      </c>
    </row>
    <row r="912" spans="1:21" x14ac:dyDescent="0.3">
      <c r="A912">
        <v>163021</v>
      </c>
      <c r="B912" s="1" t="s">
        <v>274</v>
      </c>
      <c r="C912" s="1" t="s">
        <v>1396</v>
      </c>
      <c r="D912" s="2">
        <v>24705</v>
      </c>
      <c r="E912" s="1" t="s">
        <v>49</v>
      </c>
      <c r="F912" s="1" t="s">
        <v>67</v>
      </c>
      <c r="G912" s="1" t="s">
        <v>283</v>
      </c>
      <c r="H912" s="1" t="s">
        <v>279</v>
      </c>
      <c r="I912" s="1" t="s">
        <v>284</v>
      </c>
      <c r="J912">
        <v>94578</v>
      </c>
      <c r="K912">
        <v>0</v>
      </c>
      <c r="L912">
        <v>0</v>
      </c>
      <c r="M912">
        <v>0</v>
      </c>
      <c r="N912">
        <v>3</v>
      </c>
      <c r="O912" s="1" t="s">
        <v>32</v>
      </c>
      <c r="P912">
        <v>2</v>
      </c>
      <c r="Q912">
        <v>0</v>
      </c>
      <c r="R912">
        <v>0</v>
      </c>
      <c r="S912">
        <v>0</v>
      </c>
      <c r="T912">
        <v>1</v>
      </c>
      <c r="U912">
        <f>IF(openpolis_patrimoni_trasparenti_anno_2014[[#This Row],[totale_730_dichiarante]]&lt;&gt;0,LOG10(openpolis_patrimoni_trasparenti_anno_2014[[#This Row],[totale_730_dichiarante]]), 0)</f>
        <v>4.9757901259392128</v>
      </c>
    </row>
    <row r="913" spans="1:21" x14ac:dyDescent="0.3">
      <c r="A913">
        <v>686897</v>
      </c>
      <c r="B913" s="1" t="s">
        <v>242</v>
      </c>
      <c r="C913" s="1" t="s">
        <v>1397</v>
      </c>
      <c r="D913" s="2">
        <v>25487</v>
      </c>
      <c r="E913" s="1" t="s">
        <v>29</v>
      </c>
      <c r="F913" s="1" t="s">
        <v>67</v>
      </c>
      <c r="G913" s="1" t="s">
        <v>24</v>
      </c>
      <c r="H913" s="1" t="s">
        <v>279</v>
      </c>
      <c r="I913" s="1" t="s">
        <v>284</v>
      </c>
      <c r="J913">
        <v>112746</v>
      </c>
      <c r="K913">
        <v>0</v>
      </c>
      <c r="L913">
        <v>0</v>
      </c>
      <c r="M913">
        <v>0</v>
      </c>
      <c r="N913">
        <v>3</v>
      </c>
      <c r="O913" s="1" t="s">
        <v>32</v>
      </c>
      <c r="P913">
        <v>3</v>
      </c>
      <c r="Q913">
        <v>0</v>
      </c>
      <c r="R913">
        <v>0</v>
      </c>
      <c r="S913">
        <v>0</v>
      </c>
      <c r="T913">
        <v>0</v>
      </c>
      <c r="U913">
        <f>IF(openpolis_patrimoni_trasparenti_anno_2014[[#This Row],[totale_730_dichiarante]]&lt;&gt;0,LOG10(openpolis_patrimoni_trasparenti_anno_2014[[#This Row],[totale_730_dichiarante]]), 0)</f>
        <v>5.052101142933652</v>
      </c>
    </row>
    <row r="914" spans="1:21" x14ac:dyDescent="0.3">
      <c r="A914">
        <v>685732</v>
      </c>
      <c r="B914" s="1" t="s">
        <v>160</v>
      </c>
      <c r="C914" s="1" t="s">
        <v>1398</v>
      </c>
      <c r="D914" s="2">
        <v>24204</v>
      </c>
      <c r="E914" s="1" t="s">
        <v>307</v>
      </c>
      <c r="F914" s="1" t="s">
        <v>67</v>
      </c>
      <c r="G914" s="1" t="s">
        <v>102</v>
      </c>
      <c r="H914" s="1" t="s">
        <v>314</v>
      </c>
      <c r="I914" s="1" t="s">
        <v>94</v>
      </c>
      <c r="J914">
        <v>84914</v>
      </c>
      <c r="K914">
        <v>0</v>
      </c>
      <c r="L914">
        <v>0</v>
      </c>
      <c r="M914">
        <v>0</v>
      </c>
      <c r="N914">
        <v>3</v>
      </c>
      <c r="O914" s="1" t="s">
        <v>32</v>
      </c>
      <c r="P914">
        <v>2</v>
      </c>
      <c r="Q914">
        <v>0</v>
      </c>
      <c r="R914">
        <v>1</v>
      </c>
      <c r="S914">
        <v>0</v>
      </c>
      <c r="T914">
        <v>0</v>
      </c>
      <c r="U914">
        <f>IF(openpolis_patrimoni_trasparenti_anno_2014[[#This Row],[totale_730_dichiarante]]&lt;&gt;0,LOG10(openpolis_patrimoni_trasparenti_anno_2014[[#This Row],[totale_730_dichiarante]]), 0)</f>
        <v>4.9289792994488524</v>
      </c>
    </row>
    <row r="915" spans="1:21" x14ac:dyDescent="0.3">
      <c r="A915">
        <v>686917</v>
      </c>
      <c r="B915" s="1" t="s">
        <v>1399</v>
      </c>
      <c r="C915" s="1" t="s">
        <v>1400</v>
      </c>
      <c r="D915" s="2">
        <v>24788</v>
      </c>
      <c r="E915" s="1" t="s">
        <v>63</v>
      </c>
      <c r="F915" s="1" t="s">
        <v>67</v>
      </c>
      <c r="G915" s="1" t="s">
        <v>102</v>
      </c>
      <c r="H915" s="1" t="s">
        <v>102</v>
      </c>
      <c r="I915" s="1" t="s">
        <v>94</v>
      </c>
      <c r="J915">
        <v>81056</v>
      </c>
      <c r="K915">
        <v>0</v>
      </c>
      <c r="L915">
        <v>0</v>
      </c>
      <c r="M915">
        <v>0</v>
      </c>
      <c r="N915">
        <v>2</v>
      </c>
      <c r="O915" s="1" t="s">
        <v>43</v>
      </c>
      <c r="P915">
        <v>0</v>
      </c>
      <c r="Q915">
        <v>1</v>
      </c>
      <c r="R915">
        <v>1</v>
      </c>
      <c r="S915">
        <v>1</v>
      </c>
      <c r="T915">
        <v>0</v>
      </c>
      <c r="U915">
        <f>IF(openpolis_patrimoni_trasparenti_anno_2014[[#This Row],[totale_730_dichiarante]]&lt;&gt;0,LOG10(openpolis_patrimoni_trasparenti_anno_2014[[#This Row],[totale_730_dichiarante]]), 0)</f>
        <v>4.9087851681104535</v>
      </c>
    </row>
    <row r="916" spans="1:21" x14ac:dyDescent="0.3">
      <c r="A916">
        <v>533937</v>
      </c>
      <c r="B916" s="1" t="s">
        <v>1401</v>
      </c>
      <c r="C916" s="1" t="s">
        <v>1402</v>
      </c>
      <c r="D916" s="2">
        <v>26132</v>
      </c>
      <c r="E916" s="1" t="s">
        <v>41</v>
      </c>
      <c r="F916" s="1" t="s">
        <v>67</v>
      </c>
      <c r="G916" s="1" t="s">
        <v>53</v>
      </c>
      <c r="H916" s="1" t="s">
        <v>53</v>
      </c>
      <c r="I916" s="1" t="s">
        <v>94</v>
      </c>
      <c r="J916">
        <v>94596</v>
      </c>
      <c r="K916">
        <v>0</v>
      </c>
      <c r="L916">
        <v>0</v>
      </c>
      <c r="M916">
        <v>0</v>
      </c>
      <c r="N916">
        <v>3</v>
      </c>
      <c r="O916" s="1" t="s">
        <v>32</v>
      </c>
      <c r="P916">
        <v>1</v>
      </c>
      <c r="Q916">
        <v>0</v>
      </c>
      <c r="R916">
        <v>2</v>
      </c>
      <c r="S916">
        <v>0</v>
      </c>
      <c r="T916">
        <v>0</v>
      </c>
      <c r="U916">
        <f>IF(openpolis_patrimoni_trasparenti_anno_2014[[#This Row],[totale_730_dichiarante]]&lt;&gt;0,LOG10(openpolis_patrimoni_trasparenti_anno_2014[[#This Row],[totale_730_dichiarante]]), 0)</f>
        <v>4.9758727726105088</v>
      </c>
    </row>
    <row r="917" spans="1:21" x14ac:dyDescent="0.3">
      <c r="A917">
        <v>341191</v>
      </c>
      <c r="B917" s="1" t="s">
        <v>152</v>
      </c>
      <c r="C917" s="1" t="s">
        <v>1403</v>
      </c>
      <c r="D917" s="2">
        <v>21206</v>
      </c>
      <c r="E917" s="1" t="s">
        <v>49</v>
      </c>
      <c r="F917" s="1" t="s">
        <v>67</v>
      </c>
      <c r="G917" s="1" t="s">
        <v>24</v>
      </c>
      <c r="H917" s="1" t="s">
        <v>24</v>
      </c>
      <c r="I917" s="1" t="s">
        <v>31</v>
      </c>
      <c r="J917">
        <v>85067</v>
      </c>
      <c r="K917">
        <v>31535</v>
      </c>
      <c r="L917">
        <v>0</v>
      </c>
      <c r="M917">
        <v>20576.599999999999</v>
      </c>
      <c r="N917">
        <v>1</v>
      </c>
      <c r="O917" s="1" t="s">
        <v>383</v>
      </c>
      <c r="P917">
        <v>2</v>
      </c>
      <c r="Q917">
        <v>3</v>
      </c>
      <c r="R917">
        <v>1</v>
      </c>
      <c r="S917">
        <v>0</v>
      </c>
      <c r="T917">
        <v>0</v>
      </c>
      <c r="U917">
        <f>IF(openpolis_patrimoni_trasparenti_anno_2014[[#This Row],[totale_730_dichiarante]]&lt;&gt;0,LOG10(openpolis_patrimoni_trasparenti_anno_2014[[#This Row],[totale_730_dichiarante]]), 0)</f>
        <v>4.929761117107013</v>
      </c>
    </row>
    <row r="918" spans="1:21" x14ac:dyDescent="0.3">
      <c r="A918">
        <v>120703</v>
      </c>
      <c r="B918" s="1" t="s">
        <v>305</v>
      </c>
      <c r="C918" s="1" t="s">
        <v>1404</v>
      </c>
      <c r="D918" s="2">
        <v>24469</v>
      </c>
      <c r="E918" s="1" t="s">
        <v>35</v>
      </c>
      <c r="F918" s="1" t="s">
        <v>67</v>
      </c>
      <c r="G918" s="1" t="s">
        <v>24</v>
      </c>
      <c r="H918" s="1" t="s">
        <v>24</v>
      </c>
      <c r="I918" s="1" t="s">
        <v>111</v>
      </c>
      <c r="J918">
        <v>101257</v>
      </c>
      <c r="K918">
        <v>0</v>
      </c>
      <c r="L918">
        <v>0</v>
      </c>
      <c r="M918">
        <v>0</v>
      </c>
      <c r="N918">
        <v>2</v>
      </c>
      <c r="O918" s="1" t="s">
        <v>43</v>
      </c>
      <c r="P918">
        <v>11</v>
      </c>
      <c r="Q918">
        <v>0</v>
      </c>
      <c r="R918">
        <v>2</v>
      </c>
      <c r="S918">
        <v>3</v>
      </c>
      <c r="T918">
        <v>1</v>
      </c>
      <c r="U918">
        <f>IF(openpolis_patrimoni_trasparenti_anno_2014[[#This Row],[totale_730_dichiarante]]&lt;&gt;0,LOG10(openpolis_patrimoni_trasparenti_anno_2014[[#This Row],[totale_730_dichiarante]]), 0)</f>
        <v>5.0054250561463567</v>
      </c>
    </row>
    <row r="919" spans="1:21" x14ac:dyDescent="0.3">
      <c r="A919">
        <v>630</v>
      </c>
      <c r="B919" s="1" t="s">
        <v>160</v>
      </c>
      <c r="C919" s="1" t="s">
        <v>1405</v>
      </c>
      <c r="D919" s="2">
        <v>20048</v>
      </c>
      <c r="E919" s="1" t="s">
        <v>35</v>
      </c>
      <c r="F919" s="1" t="s">
        <v>67</v>
      </c>
      <c r="G919" s="1" t="s">
        <v>36</v>
      </c>
      <c r="H919" s="1" t="s">
        <v>37</v>
      </c>
      <c r="I919" s="1" t="s">
        <v>76</v>
      </c>
      <c r="J919">
        <v>85950</v>
      </c>
      <c r="K919">
        <v>0</v>
      </c>
      <c r="L919">
        <v>0</v>
      </c>
      <c r="M919">
        <v>0</v>
      </c>
      <c r="N919">
        <v>3</v>
      </c>
      <c r="O919" s="1" t="s">
        <v>32</v>
      </c>
      <c r="P919">
        <v>19</v>
      </c>
      <c r="Q919">
        <v>22</v>
      </c>
      <c r="R919">
        <v>1</v>
      </c>
      <c r="S919">
        <v>1</v>
      </c>
      <c r="T919">
        <v>0</v>
      </c>
      <c r="U919">
        <f>IF(openpolis_patrimoni_trasparenti_anno_2014[[#This Row],[totale_730_dichiarante]]&lt;&gt;0,LOG10(openpolis_patrimoni_trasparenti_anno_2014[[#This Row],[totale_730_dichiarante]]), 0)</f>
        <v>4.9342458810230712</v>
      </c>
    </row>
    <row r="920" spans="1:21" x14ac:dyDescent="0.3">
      <c r="A920">
        <v>685954</v>
      </c>
      <c r="B920" s="1" t="s">
        <v>196</v>
      </c>
      <c r="C920" s="1" t="s">
        <v>115</v>
      </c>
      <c r="D920" s="2">
        <v>26614</v>
      </c>
      <c r="E920" s="1" t="s">
        <v>49</v>
      </c>
      <c r="F920" s="1" t="s">
        <v>67</v>
      </c>
      <c r="G920" s="1" t="s">
        <v>102</v>
      </c>
      <c r="H920" s="1" t="s">
        <v>102</v>
      </c>
      <c r="I920" s="1" t="s">
        <v>286</v>
      </c>
      <c r="J920">
        <v>84089</v>
      </c>
      <c r="K920">
        <v>0</v>
      </c>
      <c r="L920">
        <v>0</v>
      </c>
      <c r="M920">
        <v>0</v>
      </c>
      <c r="N920">
        <v>3</v>
      </c>
      <c r="O920" s="1" t="s">
        <v>32</v>
      </c>
      <c r="P920">
        <v>3</v>
      </c>
      <c r="Q920">
        <v>0</v>
      </c>
      <c r="R920">
        <v>0</v>
      </c>
      <c r="S920">
        <v>0</v>
      </c>
      <c r="T920">
        <v>0</v>
      </c>
      <c r="U920">
        <f>IF(openpolis_patrimoni_trasparenti_anno_2014[[#This Row],[totale_730_dichiarante]]&lt;&gt;0,LOG10(openpolis_patrimoni_trasparenti_anno_2014[[#This Row],[totale_730_dichiarante]]), 0)</f>
        <v>4.9247391878103777</v>
      </c>
    </row>
    <row r="921" spans="1:21" x14ac:dyDescent="0.3">
      <c r="A921">
        <v>372722</v>
      </c>
      <c r="B921" s="1" t="s">
        <v>192</v>
      </c>
      <c r="C921" s="1" t="s">
        <v>1406</v>
      </c>
      <c r="D921" s="2">
        <v>16923</v>
      </c>
      <c r="E921" s="1" t="s">
        <v>307</v>
      </c>
      <c r="F921" s="1" t="s">
        <v>67</v>
      </c>
      <c r="G921" s="1" t="s">
        <v>36</v>
      </c>
      <c r="H921" s="1" t="s">
        <v>93</v>
      </c>
      <c r="I921" s="1" t="s">
        <v>115</v>
      </c>
      <c r="J921">
        <v>114109</v>
      </c>
      <c r="K921">
        <v>0</v>
      </c>
      <c r="L921">
        <v>0</v>
      </c>
      <c r="M921">
        <v>0</v>
      </c>
      <c r="N921">
        <v>3</v>
      </c>
      <c r="O921" s="1" t="s">
        <v>32</v>
      </c>
      <c r="P921">
        <v>1</v>
      </c>
      <c r="Q921">
        <v>0</v>
      </c>
      <c r="R921">
        <v>1</v>
      </c>
      <c r="S921">
        <v>2</v>
      </c>
      <c r="T921">
        <v>0</v>
      </c>
      <c r="U921">
        <f>IF(openpolis_patrimoni_trasparenti_anno_2014[[#This Row],[totale_730_dichiarante]]&lt;&gt;0,LOG10(openpolis_patrimoni_trasparenti_anno_2014[[#This Row],[totale_730_dichiarante]]), 0)</f>
        <v>5.0573198994242761</v>
      </c>
    </row>
    <row r="922" spans="1:21" x14ac:dyDescent="0.3">
      <c r="A922">
        <v>687134</v>
      </c>
      <c r="B922" s="1" t="s">
        <v>1407</v>
      </c>
      <c r="C922" s="1" t="s">
        <v>1408</v>
      </c>
      <c r="D922" s="2">
        <v>23798</v>
      </c>
      <c r="E922" s="1" t="s">
        <v>41</v>
      </c>
      <c r="F922" s="1" t="s">
        <v>67</v>
      </c>
      <c r="G922" s="1" t="s">
        <v>102</v>
      </c>
      <c r="H922" s="1" t="s">
        <v>102</v>
      </c>
      <c r="I922" s="1" t="s">
        <v>345</v>
      </c>
      <c r="J922">
        <v>76811</v>
      </c>
      <c r="K922">
        <v>0</v>
      </c>
      <c r="L922">
        <v>0</v>
      </c>
      <c r="M922">
        <v>0</v>
      </c>
      <c r="N922">
        <v>3</v>
      </c>
      <c r="O922" s="1" t="s">
        <v>32</v>
      </c>
      <c r="P922">
        <v>1</v>
      </c>
      <c r="Q922">
        <v>0</v>
      </c>
      <c r="R922">
        <v>3</v>
      </c>
      <c r="S922">
        <v>0</v>
      </c>
      <c r="T922">
        <v>0</v>
      </c>
      <c r="U922">
        <f>IF(openpolis_patrimoni_trasparenti_anno_2014[[#This Row],[totale_730_dichiarante]]&lt;&gt;0,LOG10(openpolis_patrimoni_trasparenti_anno_2014[[#This Row],[totale_730_dichiarante]]), 0)</f>
        <v>4.8854234192139812</v>
      </c>
    </row>
    <row r="923" spans="1:21" x14ac:dyDescent="0.3">
      <c r="A923">
        <v>521</v>
      </c>
      <c r="B923" s="1" t="s">
        <v>84</v>
      </c>
      <c r="C923" s="1" t="s">
        <v>1409</v>
      </c>
      <c r="D923" s="2">
        <v>22095</v>
      </c>
      <c r="E923" s="1" t="s">
        <v>63</v>
      </c>
      <c r="F923" s="1" t="s">
        <v>67</v>
      </c>
      <c r="G923" s="1" t="s">
        <v>25</v>
      </c>
      <c r="H923" s="1" t="s">
        <v>24</v>
      </c>
      <c r="I923" s="1" t="s">
        <v>345</v>
      </c>
      <c r="J923">
        <v>99932</v>
      </c>
      <c r="K923">
        <v>0</v>
      </c>
      <c r="L923">
        <v>0</v>
      </c>
      <c r="M923">
        <v>0</v>
      </c>
      <c r="N923">
        <v>3</v>
      </c>
      <c r="O923" s="1" t="s">
        <v>32</v>
      </c>
      <c r="P923">
        <v>2</v>
      </c>
      <c r="Q923">
        <v>1</v>
      </c>
      <c r="R923">
        <v>0</v>
      </c>
      <c r="S923">
        <v>0</v>
      </c>
      <c r="T923">
        <v>0</v>
      </c>
      <c r="U923">
        <f>IF(openpolis_patrimoni_trasparenti_anno_2014[[#This Row],[totale_730_dichiarante]]&lt;&gt;0,LOG10(openpolis_patrimoni_trasparenti_anno_2014[[#This Row],[totale_730_dichiarante]]), 0)</f>
        <v>4.9997045792978794</v>
      </c>
    </row>
    <row r="924" spans="1:21" x14ac:dyDescent="0.3">
      <c r="A924">
        <v>703</v>
      </c>
      <c r="B924" s="1" t="s">
        <v>84</v>
      </c>
      <c r="C924" s="1" t="s">
        <v>1410</v>
      </c>
      <c r="D924" s="2">
        <v>18751</v>
      </c>
      <c r="E924" s="1" t="s">
        <v>49</v>
      </c>
      <c r="F924" s="1" t="s">
        <v>67</v>
      </c>
      <c r="G924" s="1" t="s">
        <v>36</v>
      </c>
      <c r="H924" s="1" t="s">
        <v>298</v>
      </c>
      <c r="I924" s="1" t="s">
        <v>345</v>
      </c>
      <c r="J924">
        <v>99149</v>
      </c>
      <c r="K924">
        <v>0</v>
      </c>
      <c r="L924">
        <v>0</v>
      </c>
      <c r="M924">
        <v>0</v>
      </c>
      <c r="N924">
        <v>2</v>
      </c>
      <c r="O924" s="1" t="s">
        <v>43</v>
      </c>
      <c r="P924">
        <v>7</v>
      </c>
      <c r="Q924">
        <v>5</v>
      </c>
      <c r="R924">
        <v>4</v>
      </c>
      <c r="S924">
        <v>2</v>
      </c>
      <c r="T924">
        <v>0</v>
      </c>
      <c r="U924">
        <f>IF(openpolis_patrimoni_trasparenti_anno_2014[[#This Row],[totale_730_dichiarante]]&lt;&gt;0,LOG10(openpolis_patrimoni_trasparenti_anno_2014[[#This Row],[totale_730_dichiarante]]), 0)</f>
        <v>4.9962883383429153</v>
      </c>
    </row>
    <row r="925" spans="1:21" x14ac:dyDescent="0.3">
      <c r="A925">
        <v>274860</v>
      </c>
      <c r="B925" s="1" t="s">
        <v>242</v>
      </c>
      <c r="C925" s="1" t="s">
        <v>1411</v>
      </c>
      <c r="D925" s="2">
        <v>19186</v>
      </c>
      <c r="E925" s="1" t="s">
        <v>136</v>
      </c>
      <c r="F925" s="1" t="s">
        <v>67</v>
      </c>
      <c r="G925" s="1" t="s">
        <v>36</v>
      </c>
      <c r="H925" s="1" t="s">
        <v>37</v>
      </c>
      <c r="I925" s="1" t="s">
        <v>291</v>
      </c>
      <c r="J925">
        <v>97480</v>
      </c>
      <c r="K925">
        <v>0</v>
      </c>
      <c r="L925">
        <v>0</v>
      </c>
      <c r="M925">
        <v>0</v>
      </c>
      <c r="N925">
        <v>3</v>
      </c>
      <c r="O925" s="1" t="s">
        <v>32</v>
      </c>
      <c r="P925">
        <v>0</v>
      </c>
      <c r="Q925">
        <v>2</v>
      </c>
      <c r="R925">
        <v>1</v>
      </c>
      <c r="S925">
        <v>0</v>
      </c>
      <c r="T925">
        <v>0</v>
      </c>
      <c r="U925">
        <f>IF(openpolis_patrimoni_trasparenti_anno_2014[[#This Row],[totale_730_dichiarante]]&lt;&gt;0,LOG10(openpolis_patrimoni_trasparenti_anno_2014[[#This Row],[totale_730_dichiarante]]), 0)</f>
        <v>4.9889155205126867</v>
      </c>
    </row>
    <row r="926" spans="1:21" x14ac:dyDescent="0.3">
      <c r="A926">
        <v>687667</v>
      </c>
      <c r="B926" s="1" t="s">
        <v>1385</v>
      </c>
      <c r="C926" s="1" t="s">
        <v>1412</v>
      </c>
      <c r="D926" s="2">
        <v>22127</v>
      </c>
      <c r="E926" s="1" t="s">
        <v>136</v>
      </c>
      <c r="F926" s="1" t="s">
        <v>67</v>
      </c>
      <c r="G926" s="1" t="s">
        <v>36</v>
      </c>
      <c r="H926" s="1" t="s">
        <v>168</v>
      </c>
      <c r="I926" s="1" t="s">
        <v>345</v>
      </c>
      <c r="J926">
        <v>96181</v>
      </c>
      <c r="K926">
        <v>0</v>
      </c>
      <c r="L926">
        <v>0</v>
      </c>
      <c r="M926">
        <v>0</v>
      </c>
      <c r="N926">
        <v>3</v>
      </c>
      <c r="O926" s="1" t="s">
        <v>32</v>
      </c>
      <c r="P926">
        <v>1</v>
      </c>
      <c r="Q926">
        <v>0</v>
      </c>
      <c r="R926">
        <v>3</v>
      </c>
      <c r="S926">
        <v>0</v>
      </c>
      <c r="T926">
        <v>0</v>
      </c>
      <c r="U926">
        <f>IF(openpolis_patrimoni_trasparenti_anno_2014[[#This Row],[totale_730_dichiarante]]&lt;&gt;0,LOG10(openpolis_patrimoni_trasparenti_anno_2014[[#This Row],[totale_730_dichiarante]]), 0)</f>
        <v>4.9830892881487285</v>
      </c>
    </row>
    <row r="927" spans="1:21" x14ac:dyDescent="0.3">
      <c r="A927">
        <v>274824</v>
      </c>
      <c r="B927" s="1" t="s">
        <v>215</v>
      </c>
      <c r="C927" s="1" t="s">
        <v>1380</v>
      </c>
      <c r="D927" s="2">
        <v>17777</v>
      </c>
      <c r="E927" s="1" t="s">
        <v>49</v>
      </c>
      <c r="F927" s="1" t="s">
        <v>67</v>
      </c>
      <c r="G927" s="1" t="s">
        <v>24</v>
      </c>
      <c r="H927" s="1" t="s">
        <v>24</v>
      </c>
      <c r="I927" s="1" t="s">
        <v>291</v>
      </c>
      <c r="J927">
        <v>120484</v>
      </c>
      <c r="K927">
        <v>0</v>
      </c>
      <c r="L927">
        <v>0</v>
      </c>
      <c r="M927">
        <v>0</v>
      </c>
      <c r="N927">
        <v>3</v>
      </c>
      <c r="O927" s="1" t="s">
        <v>32</v>
      </c>
      <c r="P927">
        <v>1</v>
      </c>
      <c r="Q927">
        <v>1</v>
      </c>
      <c r="R927">
        <v>1</v>
      </c>
      <c r="S927">
        <v>0</v>
      </c>
      <c r="T927">
        <v>0</v>
      </c>
      <c r="U927">
        <f>IF(openpolis_patrimoni_trasparenti_anno_2014[[#This Row],[totale_730_dichiarante]]&lt;&gt;0,LOG10(openpolis_patrimoni_trasparenti_anno_2014[[#This Row],[totale_730_dichiarante]]), 0)</f>
        <v>5.0809293774247744</v>
      </c>
    </row>
    <row r="928" spans="1:21" x14ac:dyDescent="0.3">
      <c r="A928">
        <v>1461</v>
      </c>
      <c r="B928" s="1" t="s">
        <v>217</v>
      </c>
      <c r="C928" s="1" t="s">
        <v>1413</v>
      </c>
      <c r="D928" s="2">
        <v>19509</v>
      </c>
      <c r="E928" s="1" t="s">
        <v>41</v>
      </c>
      <c r="F928" s="1" t="s">
        <v>67</v>
      </c>
      <c r="G928" s="1" t="s">
        <v>36</v>
      </c>
      <c r="H928" s="1" t="s">
        <v>168</v>
      </c>
      <c r="I928" s="1" t="s">
        <v>115</v>
      </c>
      <c r="J928">
        <v>125932</v>
      </c>
      <c r="K928">
        <v>0</v>
      </c>
      <c r="L928">
        <v>0</v>
      </c>
      <c r="M928">
        <v>0</v>
      </c>
      <c r="N928">
        <v>3</v>
      </c>
      <c r="O928" s="1" t="s">
        <v>32</v>
      </c>
      <c r="P928">
        <v>0</v>
      </c>
      <c r="Q928">
        <v>0</v>
      </c>
      <c r="R928">
        <v>1</v>
      </c>
      <c r="S928">
        <v>2</v>
      </c>
      <c r="T928">
        <v>0</v>
      </c>
      <c r="U928">
        <f>IF(openpolis_patrimoni_trasparenti_anno_2014[[#This Row],[totale_730_dichiarante]]&lt;&gt;0,LOG10(openpolis_patrimoni_trasparenti_anno_2014[[#This Row],[totale_730_dichiarante]]), 0)</f>
        <v>5.1001361007001282</v>
      </c>
    </row>
    <row r="929" spans="1:21" x14ac:dyDescent="0.3">
      <c r="A929">
        <v>274756</v>
      </c>
      <c r="B929" s="1" t="s">
        <v>265</v>
      </c>
      <c r="C929" s="1" t="s">
        <v>1414</v>
      </c>
      <c r="D929" s="2">
        <v>23890</v>
      </c>
      <c r="E929" s="1" t="s">
        <v>35</v>
      </c>
      <c r="F929" s="1" t="s">
        <v>67</v>
      </c>
      <c r="G929" s="1" t="s">
        <v>24</v>
      </c>
      <c r="H929" s="1" t="s">
        <v>24</v>
      </c>
      <c r="I929" s="1" t="s">
        <v>46</v>
      </c>
      <c r="J929">
        <v>630556</v>
      </c>
      <c r="K929">
        <v>42812</v>
      </c>
      <c r="L929">
        <v>0</v>
      </c>
      <c r="M929">
        <v>0</v>
      </c>
      <c r="N929">
        <v>3</v>
      </c>
      <c r="O929" s="1" t="s">
        <v>32</v>
      </c>
      <c r="P929">
        <v>6</v>
      </c>
      <c r="Q929">
        <v>4</v>
      </c>
      <c r="R929">
        <v>4</v>
      </c>
      <c r="S929">
        <v>8</v>
      </c>
      <c r="T929">
        <v>11</v>
      </c>
      <c r="U929">
        <f>IF(openpolis_patrimoni_trasparenti_anno_2014[[#This Row],[totale_730_dichiarante]]&lt;&gt;0,LOG10(openpolis_patrimoni_trasparenti_anno_2014[[#This Row],[totale_730_dichiarante]]), 0)</f>
        <v>5.7997236625363753</v>
      </c>
    </row>
    <row r="930" spans="1:21" x14ac:dyDescent="0.3">
      <c r="A930">
        <v>330321</v>
      </c>
      <c r="B930" s="1" t="s">
        <v>305</v>
      </c>
      <c r="C930" s="1" t="s">
        <v>1415</v>
      </c>
      <c r="D930" s="2">
        <v>23009</v>
      </c>
      <c r="E930" s="1" t="s">
        <v>49</v>
      </c>
      <c r="F930" s="1" t="s">
        <v>67</v>
      </c>
      <c r="G930" s="1" t="s">
        <v>36</v>
      </c>
      <c r="H930" s="1" t="s">
        <v>37</v>
      </c>
      <c r="I930" s="1" t="s">
        <v>94</v>
      </c>
      <c r="J930">
        <v>68660</v>
      </c>
      <c r="K930">
        <v>0</v>
      </c>
      <c r="L930">
        <v>0</v>
      </c>
      <c r="M930">
        <v>0</v>
      </c>
      <c r="N930">
        <v>3</v>
      </c>
      <c r="O930" s="1" t="s">
        <v>1416</v>
      </c>
      <c r="P930">
        <v>1</v>
      </c>
      <c r="Q930">
        <v>0</v>
      </c>
      <c r="R930">
        <v>1</v>
      </c>
      <c r="S930">
        <v>2</v>
      </c>
      <c r="T930">
        <v>0</v>
      </c>
      <c r="U930">
        <f>IF(openpolis_patrimoni_trasparenti_anno_2014[[#This Row],[totale_730_dichiarante]]&lt;&gt;0,LOG10(openpolis_patrimoni_trasparenti_anno_2014[[#This Row],[totale_730_dichiarante]]), 0)</f>
        <v>4.8367037990897312</v>
      </c>
    </row>
    <row r="931" spans="1:21" x14ac:dyDescent="0.3">
      <c r="A931">
        <v>686698</v>
      </c>
      <c r="B931" s="1" t="s">
        <v>1417</v>
      </c>
      <c r="C931" s="1" t="s">
        <v>1418</v>
      </c>
      <c r="D931" s="2">
        <v>29610</v>
      </c>
      <c r="E931" s="1" t="s">
        <v>41</v>
      </c>
      <c r="F931" s="1" t="s">
        <v>176</v>
      </c>
      <c r="G931" s="1" t="s">
        <v>177</v>
      </c>
      <c r="H931" s="1" t="s">
        <v>25</v>
      </c>
      <c r="I931" s="1" t="s">
        <v>46</v>
      </c>
      <c r="J931">
        <v>107734</v>
      </c>
      <c r="K931">
        <v>0</v>
      </c>
      <c r="L931">
        <v>0</v>
      </c>
      <c r="M931">
        <v>0</v>
      </c>
      <c r="N931">
        <v>2</v>
      </c>
      <c r="O931" s="1" t="s">
        <v>195</v>
      </c>
      <c r="P931">
        <v>0</v>
      </c>
      <c r="Q931">
        <v>0</v>
      </c>
      <c r="R931">
        <v>1</v>
      </c>
      <c r="S931">
        <v>2</v>
      </c>
      <c r="T931">
        <v>0</v>
      </c>
      <c r="U931">
        <f>IF(openpolis_patrimoni_trasparenti_anno_2014[[#This Row],[totale_730_dichiarante]]&lt;&gt;0,LOG10(openpolis_patrimoni_trasparenti_anno_2014[[#This Row],[totale_730_dichiarante]]), 0)</f>
        <v>5.0323527848404241</v>
      </c>
    </row>
    <row r="932" spans="1:21" x14ac:dyDescent="0.3">
      <c r="A932">
        <v>523</v>
      </c>
      <c r="B932" s="1" t="s">
        <v>1419</v>
      </c>
      <c r="C932" s="1" t="s">
        <v>1420</v>
      </c>
      <c r="D932" s="2">
        <v>21826</v>
      </c>
      <c r="E932" s="1" t="s">
        <v>35</v>
      </c>
      <c r="F932" s="1" t="s">
        <v>176</v>
      </c>
      <c r="G932" s="1" t="s">
        <v>263</v>
      </c>
      <c r="H932" s="1" t="s">
        <v>25</v>
      </c>
      <c r="I932" s="1" t="s">
        <v>64</v>
      </c>
      <c r="J932">
        <v>181743</v>
      </c>
      <c r="K932">
        <v>0</v>
      </c>
      <c r="L932">
        <v>0</v>
      </c>
      <c r="M932">
        <v>0</v>
      </c>
      <c r="N932">
        <v>3</v>
      </c>
      <c r="O932" s="1" t="s">
        <v>32</v>
      </c>
      <c r="P932">
        <v>0</v>
      </c>
      <c r="Q932">
        <v>0</v>
      </c>
      <c r="R932">
        <v>1</v>
      </c>
      <c r="S932">
        <v>1</v>
      </c>
      <c r="T932">
        <v>1</v>
      </c>
      <c r="U932">
        <f>IF(openpolis_patrimoni_trasparenti_anno_2014[[#This Row],[totale_730_dichiarante]]&lt;&gt;0,LOG10(openpolis_patrimoni_trasparenti_anno_2014[[#This Row],[totale_730_dichiarante]]), 0)</f>
        <v>5.2594576925989269</v>
      </c>
    </row>
    <row r="933" spans="1:21" x14ac:dyDescent="0.3">
      <c r="A933">
        <v>498127</v>
      </c>
      <c r="B933" s="1" t="s">
        <v>357</v>
      </c>
      <c r="C933" s="1" t="s">
        <v>836</v>
      </c>
      <c r="D933" s="2">
        <v>28742</v>
      </c>
      <c r="E933" s="1" t="s">
        <v>22</v>
      </c>
      <c r="F933" s="1" t="s">
        <v>23</v>
      </c>
      <c r="G933" s="1" t="s">
        <v>24</v>
      </c>
      <c r="H933" s="1" t="s">
        <v>25</v>
      </c>
      <c r="I933" s="1" t="s">
        <v>25</v>
      </c>
      <c r="J933">
        <v>147891</v>
      </c>
      <c r="K933">
        <v>0</v>
      </c>
      <c r="L933">
        <v>0</v>
      </c>
      <c r="M933">
        <v>0</v>
      </c>
      <c r="N933">
        <v>2</v>
      </c>
      <c r="O933" s="1" t="s">
        <v>43</v>
      </c>
      <c r="P933">
        <v>2</v>
      </c>
      <c r="Q933">
        <v>0</v>
      </c>
      <c r="R933">
        <v>1</v>
      </c>
      <c r="S933">
        <v>0</v>
      </c>
      <c r="T933">
        <v>0</v>
      </c>
      <c r="U933">
        <f>IF(openpolis_patrimoni_trasparenti_anno_2014[[#This Row],[totale_730_dichiarante]]&lt;&gt;0,LOG10(openpolis_patrimoni_trasparenti_anno_2014[[#This Row],[totale_730_dichiarante]]), 0)</f>
        <v>5.169941745536673</v>
      </c>
    </row>
    <row r="934" spans="1:21" x14ac:dyDescent="0.3">
      <c r="A934">
        <v>1498</v>
      </c>
      <c r="B934" s="1" t="s">
        <v>207</v>
      </c>
      <c r="C934" s="1" t="s">
        <v>1421</v>
      </c>
      <c r="D934" s="2">
        <v>19781</v>
      </c>
      <c r="E934" s="1" t="s">
        <v>140</v>
      </c>
      <c r="F934" s="1" t="s">
        <v>377</v>
      </c>
      <c r="G934" s="1" t="s">
        <v>177</v>
      </c>
      <c r="H934" s="1" t="s">
        <v>25</v>
      </c>
      <c r="I934" s="1" t="s">
        <v>393</v>
      </c>
      <c r="J934">
        <v>101345</v>
      </c>
      <c r="K934">
        <v>36270</v>
      </c>
      <c r="L934">
        <v>0</v>
      </c>
      <c r="M934">
        <v>0</v>
      </c>
      <c r="N934">
        <v>1</v>
      </c>
      <c r="O934" s="1" t="s">
        <v>1422</v>
      </c>
      <c r="P934">
        <v>9</v>
      </c>
      <c r="Q934">
        <v>4</v>
      </c>
      <c r="R934">
        <v>2</v>
      </c>
      <c r="S934">
        <v>1</v>
      </c>
      <c r="T934">
        <v>0</v>
      </c>
      <c r="U934">
        <f>IF(openpolis_patrimoni_trasparenti_anno_2014[[#This Row],[totale_730_dichiarante]]&lt;&gt;0,LOG10(openpolis_patrimoni_trasparenti_anno_2014[[#This Row],[totale_730_dichiarante]]), 0)</f>
        <v>5.005802327020394</v>
      </c>
    </row>
    <row r="935" spans="1:21" x14ac:dyDescent="0.3">
      <c r="A935">
        <v>4836</v>
      </c>
      <c r="B935" s="1" t="s">
        <v>294</v>
      </c>
      <c r="C935" s="1" t="s">
        <v>1423</v>
      </c>
      <c r="D935" s="2">
        <v>21842</v>
      </c>
      <c r="E935" s="1" t="s">
        <v>22</v>
      </c>
      <c r="F935" s="1" t="s">
        <v>377</v>
      </c>
      <c r="G935" s="1" t="s">
        <v>1424</v>
      </c>
      <c r="H935" s="1" t="s">
        <v>25</v>
      </c>
      <c r="I935" s="1" t="s">
        <v>58</v>
      </c>
      <c r="J935">
        <v>97601</v>
      </c>
      <c r="K935">
        <v>2200</v>
      </c>
      <c r="L935">
        <v>0</v>
      </c>
      <c r="M935">
        <v>0</v>
      </c>
      <c r="N935">
        <v>1</v>
      </c>
      <c r="O935" s="1" t="s">
        <v>1280</v>
      </c>
      <c r="P935">
        <v>1</v>
      </c>
      <c r="Q935">
        <v>0</v>
      </c>
      <c r="R935">
        <v>1</v>
      </c>
      <c r="S935">
        <v>0</v>
      </c>
      <c r="T935">
        <v>0</v>
      </c>
      <c r="U935">
        <f>IF(openpolis_patrimoni_trasparenti_anno_2014[[#This Row],[totale_730_dichiarante]]&lt;&gt;0,LOG10(openpolis_patrimoni_trasparenti_anno_2014[[#This Row],[totale_730_dichiarante]]), 0)</f>
        <v>4.98945426738244</v>
      </c>
    </row>
    <row r="936" spans="1:21" x14ac:dyDescent="0.3">
      <c r="A936">
        <v>197</v>
      </c>
      <c r="B936" s="1" t="s">
        <v>800</v>
      </c>
      <c r="C936" s="1" t="s">
        <v>1425</v>
      </c>
      <c r="D936" s="2">
        <v>21414</v>
      </c>
      <c r="E936" s="1" t="s">
        <v>86</v>
      </c>
      <c r="F936" s="1" t="s">
        <v>176</v>
      </c>
      <c r="G936" s="1" t="s">
        <v>177</v>
      </c>
      <c r="H936" s="1" t="s">
        <v>25</v>
      </c>
      <c r="I936" s="1" t="s">
        <v>115</v>
      </c>
      <c r="J936">
        <v>94187</v>
      </c>
      <c r="K936">
        <v>163</v>
      </c>
      <c r="L936">
        <v>0</v>
      </c>
      <c r="M936">
        <v>0</v>
      </c>
      <c r="N936">
        <v>1</v>
      </c>
      <c r="O936" s="1" t="s">
        <v>1280</v>
      </c>
      <c r="P936">
        <v>2</v>
      </c>
      <c r="Q936">
        <v>0</v>
      </c>
      <c r="R936">
        <v>1</v>
      </c>
      <c r="S936">
        <v>0</v>
      </c>
      <c r="T936">
        <v>0</v>
      </c>
      <c r="U936">
        <f>IF(openpolis_patrimoni_trasparenti_anno_2014[[#This Row],[totale_730_dichiarante]]&lt;&gt;0,LOG10(openpolis_patrimoni_trasparenti_anno_2014[[#This Row],[totale_730_dichiarante]]), 0)</f>
        <v>4.9739909641742495</v>
      </c>
    </row>
    <row r="937" spans="1:21" x14ac:dyDescent="0.3">
      <c r="A937">
        <v>499559</v>
      </c>
      <c r="B937" s="1" t="s">
        <v>892</v>
      </c>
      <c r="C937" s="1" t="s">
        <v>1426</v>
      </c>
      <c r="D937" s="2">
        <v>19631</v>
      </c>
      <c r="E937" s="1" t="s">
        <v>41</v>
      </c>
      <c r="F937" s="1" t="s">
        <v>176</v>
      </c>
      <c r="G937" s="1" t="s">
        <v>177</v>
      </c>
      <c r="H937" s="1" t="s">
        <v>25</v>
      </c>
      <c r="I937" s="1" t="s">
        <v>132</v>
      </c>
      <c r="J937">
        <v>135275</v>
      </c>
      <c r="K937">
        <v>0</v>
      </c>
      <c r="L937">
        <v>0</v>
      </c>
      <c r="M937">
        <v>0</v>
      </c>
      <c r="N937">
        <v>3</v>
      </c>
      <c r="O937" s="1" t="s">
        <v>32</v>
      </c>
      <c r="P937">
        <v>0</v>
      </c>
      <c r="Q937">
        <v>0</v>
      </c>
      <c r="R937">
        <v>0</v>
      </c>
      <c r="S937">
        <v>1</v>
      </c>
      <c r="T937">
        <v>2</v>
      </c>
      <c r="U937">
        <f>IF(openpolis_patrimoni_trasparenti_anno_2014[[#This Row],[totale_730_dichiarante]]&lt;&gt;0,LOG10(openpolis_patrimoni_trasparenti_anno_2014[[#This Row],[totale_730_dichiarante]]), 0)</f>
        <v>5.1312175426046194</v>
      </c>
    </row>
    <row r="938" spans="1:21" x14ac:dyDescent="0.3">
      <c r="A938">
        <v>84423</v>
      </c>
      <c r="B938" s="1" t="s">
        <v>646</v>
      </c>
      <c r="C938" s="1" t="s">
        <v>1427</v>
      </c>
      <c r="D938" s="2">
        <v>27594</v>
      </c>
      <c r="E938" s="1" t="s">
        <v>22</v>
      </c>
      <c r="F938" s="1" t="s">
        <v>176</v>
      </c>
      <c r="G938" s="1" t="s">
        <v>177</v>
      </c>
      <c r="H938" s="1" t="s">
        <v>25</v>
      </c>
      <c r="I938" s="1" t="s">
        <v>169</v>
      </c>
      <c r="J938">
        <v>78230</v>
      </c>
      <c r="K938">
        <v>0</v>
      </c>
      <c r="L938">
        <v>0</v>
      </c>
      <c r="M938">
        <v>0</v>
      </c>
      <c r="N938">
        <v>3</v>
      </c>
      <c r="O938" s="1" t="s">
        <v>32</v>
      </c>
      <c r="P938">
        <v>2</v>
      </c>
      <c r="Q938">
        <v>0</v>
      </c>
      <c r="R938">
        <v>1</v>
      </c>
      <c r="S938">
        <v>0</v>
      </c>
      <c r="T938">
        <v>0</v>
      </c>
      <c r="U938">
        <f>IF(openpolis_patrimoni_trasparenti_anno_2014[[#This Row],[totale_730_dichiarante]]&lt;&gt;0,LOG10(openpolis_patrimoni_trasparenti_anno_2014[[#This Row],[totale_730_dichiarante]]), 0)</f>
        <v>4.8933733302460247</v>
      </c>
    </row>
    <row r="939" spans="1:21" x14ac:dyDescent="0.3">
      <c r="A939">
        <v>207</v>
      </c>
      <c r="B939" s="1" t="s">
        <v>1428</v>
      </c>
      <c r="C939" s="1" t="s">
        <v>1429</v>
      </c>
      <c r="D939" s="2">
        <v>18900</v>
      </c>
      <c r="E939" s="1" t="s">
        <v>22</v>
      </c>
      <c r="F939" s="1" t="s">
        <v>30</v>
      </c>
      <c r="G939" s="1" t="s">
        <v>24</v>
      </c>
      <c r="H939" s="1" t="s">
        <v>24</v>
      </c>
      <c r="I939" s="1" t="s">
        <v>64</v>
      </c>
      <c r="J939">
        <v>117196</v>
      </c>
      <c r="K939">
        <v>15995</v>
      </c>
      <c r="L939">
        <v>0</v>
      </c>
      <c r="M939">
        <v>0</v>
      </c>
      <c r="N939">
        <v>1</v>
      </c>
      <c r="O939" s="1" t="s">
        <v>119</v>
      </c>
      <c r="P939">
        <v>6</v>
      </c>
      <c r="Q939">
        <v>0</v>
      </c>
      <c r="R939">
        <v>1</v>
      </c>
      <c r="S939">
        <v>0</v>
      </c>
      <c r="T939">
        <v>0</v>
      </c>
      <c r="U939">
        <f>IF(openpolis_patrimoni_trasparenti_anno_2014[[#This Row],[totale_730_dichiarante]]&lt;&gt;0,LOG10(openpolis_patrimoni_trasparenti_anno_2014[[#This Row],[totale_730_dichiarante]]), 0)</f>
        <v>5.0689127890918586</v>
      </c>
    </row>
    <row r="940" spans="1:21" x14ac:dyDescent="0.3">
      <c r="A940">
        <v>215</v>
      </c>
      <c r="B940" s="1" t="s">
        <v>1159</v>
      </c>
      <c r="C940" s="1" t="s">
        <v>1430</v>
      </c>
      <c r="D940" s="2">
        <v>25930</v>
      </c>
      <c r="E940" s="1" t="s">
        <v>35</v>
      </c>
      <c r="F940" s="1" t="s">
        <v>30</v>
      </c>
      <c r="G940" s="1" t="s">
        <v>36</v>
      </c>
      <c r="H940" s="1" t="s">
        <v>37</v>
      </c>
      <c r="I940" s="1" t="s">
        <v>284</v>
      </c>
      <c r="J940">
        <v>99643</v>
      </c>
      <c r="K940">
        <v>0</v>
      </c>
      <c r="L940">
        <v>0</v>
      </c>
      <c r="M940">
        <v>0</v>
      </c>
      <c r="N940">
        <v>2</v>
      </c>
      <c r="O940" s="1" t="s">
        <v>32</v>
      </c>
      <c r="P940">
        <v>3</v>
      </c>
      <c r="Q940">
        <v>2</v>
      </c>
      <c r="R940">
        <v>1</v>
      </c>
      <c r="S940">
        <v>0</v>
      </c>
      <c r="T940">
        <v>0</v>
      </c>
      <c r="U940">
        <f>IF(openpolis_patrimoni_trasparenti_anno_2014[[#This Row],[totale_730_dichiarante]]&lt;&gt;0,LOG10(openpolis_patrimoni_trasparenti_anno_2014[[#This Row],[totale_730_dichiarante]]), 0)</f>
        <v>4.9984467945753508</v>
      </c>
    </row>
    <row r="941" spans="1:21" x14ac:dyDescent="0.3">
      <c r="A941">
        <v>332997</v>
      </c>
      <c r="B941" s="1" t="s">
        <v>1431</v>
      </c>
      <c r="C941" s="1" t="s">
        <v>1432</v>
      </c>
      <c r="D941" s="2">
        <v>20973</v>
      </c>
      <c r="E941" s="1" t="s">
        <v>49</v>
      </c>
      <c r="F941" s="1" t="s">
        <v>176</v>
      </c>
      <c r="G941" s="1" t="s">
        <v>177</v>
      </c>
      <c r="H941" s="1" t="s">
        <v>25</v>
      </c>
      <c r="I941" s="1" t="s">
        <v>194</v>
      </c>
      <c r="J941">
        <v>98363</v>
      </c>
      <c r="K941">
        <v>0</v>
      </c>
      <c r="L941">
        <v>0</v>
      </c>
      <c r="M941">
        <v>0</v>
      </c>
      <c r="N941">
        <v>2</v>
      </c>
      <c r="O941" s="1" t="s">
        <v>195</v>
      </c>
      <c r="P941">
        <v>2</v>
      </c>
      <c r="Q941">
        <v>1</v>
      </c>
      <c r="R941">
        <v>1</v>
      </c>
      <c r="S941">
        <v>0</v>
      </c>
      <c r="T941">
        <v>0</v>
      </c>
      <c r="U941">
        <f>IF(openpolis_patrimoni_trasparenti_anno_2014[[#This Row],[totale_730_dichiarante]]&lt;&gt;0,LOG10(openpolis_patrimoni_trasparenti_anno_2014[[#This Row],[totale_730_dichiarante]]), 0)</f>
        <v>4.9928317659346853</v>
      </c>
    </row>
    <row r="942" spans="1:21" x14ac:dyDescent="0.3">
      <c r="A942">
        <v>220</v>
      </c>
      <c r="B942" s="1" t="s">
        <v>554</v>
      </c>
      <c r="C942" s="1" t="s">
        <v>1433</v>
      </c>
      <c r="D942" s="2">
        <v>22868</v>
      </c>
      <c r="E942" s="1" t="s">
        <v>22</v>
      </c>
      <c r="F942" s="1" t="s">
        <v>176</v>
      </c>
      <c r="G942" s="1" t="s">
        <v>177</v>
      </c>
      <c r="H942" s="1" t="s">
        <v>25</v>
      </c>
      <c r="I942" s="1" t="s">
        <v>173</v>
      </c>
      <c r="J942">
        <v>107264</v>
      </c>
      <c r="K942">
        <v>80976</v>
      </c>
      <c r="L942">
        <v>0</v>
      </c>
      <c r="M942">
        <v>0</v>
      </c>
      <c r="N942">
        <v>1</v>
      </c>
      <c r="O942" s="1" t="s">
        <v>119</v>
      </c>
      <c r="P942">
        <v>5</v>
      </c>
      <c r="Q942">
        <v>8</v>
      </c>
      <c r="R942">
        <v>3</v>
      </c>
      <c r="S942">
        <v>0</v>
      </c>
      <c r="T942">
        <v>0</v>
      </c>
      <c r="U942">
        <f>IF(openpolis_patrimoni_trasparenti_anno_2014[[#This Row],[totale_730_dichiarante]]&lt;&gt;0,LOG10(openpolis_patrimoni_trasparenti_anno_2014[[#This Row],[totale_730_dichiarante]]), 0)</f>
        <v>5.0304539882781452</v>
      </c>
    </row>
    <row r="943" spans="1:21" x14ac:dyDescent="0.3">
      <c r="A943">
        <v>685875</v>
      </c>
      <c r="B943" s="1" t="s">
        <v>1434</v>
      </c>
      <c r="C943" s="1" t="s">
        <v>1435</v>
      </c>
      <c r="D943" s="2">
        <v>28102</v>
      </c>
      <c r="E943" s="1" t="s">
        <v>146</v>
      </c>
      <c r="F943" s="1" t="s">
        <v>30</v>
      </c>
      <c r="G943" s="1" t="s">
        <v>102</v>
      </c>
      <c r="H943" s="1" t="s">
        <v>102</v>
      </c>
      <c r="I943" s="1" t="s">
        <v>194</v>
      </c>
      <c r="J943">
        <v>86598</v>
      </c>
      <c r="K943">
        <v>0</v>
      </c>
      <c r="L943">
        <v>0</v>
      </c>
      <c r="M943">
        <v>0</v>
      </c>
      <c r="N943">
        <v>2</v>
      </c>
      <c r="O943" s="1" t="s">
        <v>43</v>
      </c>
      <c r="P943">
        <v>5</v>
      </c>
      <c r="Q943">
        <v>0</v>
      </c>
      <c r="R943">
        <v>1</v>
      </c>
      <c r="S943">
        <v>0</v>
      </c>
      <c r="T943">
        <v>0</v>
      </c>
      <c r="U943">
        <f>IF(openpolis_patrimoni_trasparenti_anno_2014[[#This Row],[totale_730_dichiarante]]&lt;&gt;0,LOG10(openpolis_patrimoni_trasparenti_anno_2014[[#This Row],[totale_730_dichiarante]]), 0)</f>
        <v>4.9375078620058703</v>
      </c>
    </row>
    <row r="944" spans="1:21" x14ac:dyDescent="0.3">
      <c r="A944">
        <v>1503</v>
      </c>
      <c r="B944" s="1" t="s">
        <v>225</v>
      </c>
      <c r="C944" s="1" t="s">
        <v>1436</v>
      </c>
      <c r="D944" s="2">
        <v>17690</v>
      </c>
      <c r="E944" s="1" t="s">
        <v>29</v>
      </c>
      <c r="F944" s="1" t="s">
        <v>30</v>
      </c>
      <c r="G944" s="1" t="s">
        <v>167</v>
      </c>
      <c r="H944" s="1" t="s">
        <v>168</v>
      </c>
      <c r="I944" s="1" t="s">
        <v>264</v>
      </c>
      <c r="J944">
        <v>184471</v>
      </c>
      <c r="K944">
        <v>0</v>
      </c>
      <c r="L944">
        <v>0</v>
      </c>
      <c r="M944">
        <v>0</v>
      </c>
      <c r="N944">
        <v>2</v>
      </c>
      <c r="O944" s="1" t="s">
        <v>43</v>
      </c>
      <c r="P944">
        <v>4</v>
      </c>
      <c r="Q944">
        <v>0</v>
      </c>
      <c r="R944">
        <v>0</v>
      </c>
      <c r="S944">
        <v>0</v>
      </c>
      <c r="T944">
        <v>0</v>
      </c>
      <c r="U944">
        <f>IF(openpolis_patrimoni_trasparenti_anno_2014[[#This Row],[totale_730_dichiarante]]&lt;&gt;0,LOG10(openpolis_patrimoni_trasparenti_anno_2014[[#This Row],[totale_730_dichiarante]]), 0)</f>
        <v>5.2659281020403705</v>
      </c>
    </row>
    <row r="945" spans="1:21" x14ac:dyDescent="0.3">
      <c r="A945">
        <v>4842</v>
      </c>
      <c r="B945" s="1" t="s">
        <v>1437</v>
      </c>
      <c r="C945" s="1" t="s">
        <v>1438</v>
      </c>
      <c r="D945" s="2">
        <v>23118</v>
      </c>
      <c r="E945" s="1" t="s">
        <v>49</v>
      </c>
      <c r="F945" s="1" t="s">
        <v>30</v>
      </c>
      <c r="G945" s="1" t="s">
        <v>24</v>
      </c>
      <c r="H945" s="1" t="s">
        <v>24</v>
      </c>
      <c r="I945" s="1" t="s">
        <v>46</v>
      </c>
      <c r="J945">
        <v>96543.2</v>
      </c>
      <c r="K945">
        <v>0</v>
      </c>
      <c r="L945">
        <v>0</v>
      </c>
      <c r="M945">
        <v>0</v>
      </c>
      <c r="N945">
        <v>3</v>
      </c>
      <c r="O945" s="1" t="s">
        <v>90</v>
      </c>
      <c r="P945">
        <v>3</v>
      </c>
      <c r="Q945">
        <v>1</v>
      </c>
      <c r="R945">
        <v>1</v>
      </c>
      <c r="S945">
        <v>0</v>
      </c>
      <c r="T945">
        <v>0</v>
      </c>
      <c r="U945">
        <f>IF(openpolis_patrimoni_trasparenti_anno_2014[[#This Row],[totale_730_dichiarante]]&lt;&gt;0,LOG10(openpolis_patrimoni_trasparenti_anno_2014[[#This Row],[totale_730_dichiarante]]), 0)</f>
        <v>4.9847216897520932</v>
      </c>
    </row>
    <row r="946" spans="1:21" x14ac:dyDescent="0.3">
      <c r="A946">
        <v>687320</v>
      </c>
      <c r="B946" s="1" t="s">
        <v>138</v>
      </c>
      <c r="C946" s="1" t="s">
        <v>1439</v>
      </c>
      <c r="D946" s="2">
        <v>29636</v>
      </c>
      <c r="E946" s="1" t="s">
        <v>146</v>
      </c>
      <c r="F946" s="1" t="s">
        <v>30</v>
      </c>
      <c r="G946" s="1" t="s">
        <v>102</v>
      </c>
      <c r="H946" s="1" t="s">
        <v>102</v>
      </c>
      <c r="I946" s="1" t="s">
        <v>178</v>
      </c>
      <c r="J946">
        <v>78251</v>
      </c>
      <c r="K946">
        <v>0</v>
      </c>
      <c r="L946">
        <v>0</v>
      </c>
      <c r="M946">
        <v>0</v>
      </c>
      <c r="N946">
        <v>2</v>
      </c>
      <c r="O946" s="1" t="s">
        <v>43</v>
      </c>
      <c r="P946">
        <v>3</v>
      </c>
      <c r="Q946">
        <v>0</v>
      </c>
      <c r="R946">
        <v>2</v>
      </c>
      <c r="S946">
        <v>0</v>
      </c>
      <c r="T946">
        <v>0</v>
      </c>
      <c r="U946">
        <f>IF(openpolis_patrimoni_trasparenti_anno_2014[[#This Row],[totale_730_dichiarante]]&lt;&gt;0,LOG10(openpolis_patrimoni_trasparenti_anno_2014[[#This Row],[totale_730_dichiarante]]), 0)</f>
        <v>4.8934898962722482</v>
      </c>
    </row>
    <row r="947" spans="1:21" x14ac:dyDescent="0.3">
      <c r="A947">
        <v>364</v>
      </c>
      <c r="B947" s="1" t="s">
        <v>292</v>
      </c>
      <c r="C947" s="1" t="s">
        <v>1440</v>
      </c>
      <c r="D947" s="2">
        <v>18768</v>
      </c>
      <c r="E947" s="1" t="s">
        <v>49</v>
      </c>
      <c r="F947" s="1" t="s">
        <v>30</v>
      </c>
      <c r="G947" s="1" t="s">
        <v>24</v>
      </c>
      <c r="H947" s="1" t="s">
        <v>54</v>
      </c>
      <c r="I947" s="1" t="s">
        <v>89</v>
      </c>
      <c r="J947">
        <v>112718</v>
      </c>
      <c r="K947">
        <v>39581</v>
      </c>
      <c r="L947">
        <v>0</v>
      </c>
      <c r="M947">
        <v>0</v>
      </c>
      <c r="N947">
        <v>2</v>
      </c>
      <c r="O947" s="1" t="s">
        <v>43</v>
      </c>
      <c r="P947">
        <v>0</v>
      </c>
      <c r="Q947">
        <v>0</v>
      </c>
      <c r="R947">
        <v>0</v>
      </c>
      <c r="S947">
        <v>0</v>
      </c>
      <c r="T947">
        <v>0</v>
      </c>
      <c r="U947">
        <f>IF(openpolis_patrimoni_trasparenti_anno_2014[[#This Row],[totale_730_dichiarante]]&lt;&gt;0,LOG10(openpolis_patrimoni_trasparenti_anno_2014[[#This Row],[totale_730_dichiarante]]), 0)</f>
        <v>5.0519932743111156</v>
      </c>
    </row>
    <row r="948" spans="1:21" x14ac:dyDescent="0.3">
      <c r="A948">
        <v>435</v>
      </c>
      <c r="B948" s="1" t="s">
        <v>84</v>
      </c>
      <c r="C948" s="1" t="s">
        <v>1441</v>
      </c>
      <c r="D948" s="2">
        <v>22475</v>
      </c>
      <c r="E948" s="1" t="s">
        <v>41</v>
      </c>
      <c r="F948" s="1" t="s">
        <v>30</v>
      </c>
      <c r="G948" s="1" t="s">
        <v>36</v>
      </c>
      <c r="H948" s="1" t="s">
        <v>54</v>
      </c>
      <c r="I948" s="1" t="s">
        <v>42</v>
      </c>
      <c r="J948">
        <v>227939</v>
      </c>
      <c r="K948">
        <v>0</v>
      </c>
      <c r="L948">
        <v>0</v>
      </c>
      <c r="M948">
        <v>0</v>
      </c>
      <c r="N948">
        <v>3</v>
      </c>
      <c r="O948" s="1" t="s">
        <v>32</v>
      </c>
      <c r="P948">
        <v>14</v>
      </c>
      <c r="Q948">
        <v>3</v>
      </c>
      <c r="R948">
        <v>0</v>
      </c>
      <c r="S948">
        <v>3</v>
      </c>
      <c r="T948">
        <v>0</v>
      </c>
      <c r="U948">
        <f>IF(openpolis_patrimoni_trasparenti_anno_2014[[#This Row],[totale_730_dichiarante]]&lt;&gt;0,LOG10(openpolis_patrimoni_trasparenti_anno_2014[[#This Row],[totale_730_dichiarante]]), 0)</f>
        <v>5.3578186386324305</v>
      </c>
    </row>
    <row r="949" spans="1:21" x14ac:dyDescent="0.3">
      <c r="A949">
        <v>233459</v>
      </c>
      <c r="B949" s="1" t="s">
        <v>436</v>
      </c>
      <c r="C949" s="1" t="s">
        <v>241</v>
      </c>
      <c r="D949" s="2">
        <v>21043</v>
      </c>
      <c r="E949" s="1" t="s">
        <v>41</v>
      </c>
      <c r="F949" s="1" t="s">
        <v>30</v>
      </c>
      <c r="G949" s="1" t="s">
        <v>24</v>
      </c>
      <c r="H949" s="1" t="s">
        <v>24</v>
      </c>
      <c r="I949" s="1" t="s">
        <v>72</v>
      </c>
      <c r="J949">
        <v>114669</v>
      </c>
      <c r="K949">
        <v>0</v>
      </c>
      <c r="L949">
        <v>0</v>
      </c>
      <c r="M949">
        <v>0</v>
      </c>
      <c r="N949">
        <v>2</v>
      </c>
      <c r="O949" s="1" t="s">
        <v>43</v>
      </c>
      <c r="P949">
        <v>2</v>
      </c>
      <c r="Q949">
        <v>0</v>
      </c>
      <c r="R949">
        <v>2</v>
      </c>
      <c r="S949">
        <v>1</v>
      </c>
      <c r="T949">
        <v>0</v>
      </c>
      <c r="U949">
        <f>IF(openpolis_patrimoni_trasparenti_anno_2014[[#This Row],[totale_730_dichiarante]]&lt;&gt;0,LOG10(openpolis_patrimoni_trasparenti_anno_2014[[#This Row],[totale_730_dichiarante]]), 0)</f>
        <v>5.0594460251496667</v>
      </c>
    </row>
    <row r="950" spans="1:21" x14ac:dyDescent="0.3">
      <c r="A950">
        <v>686228</v>
      </c>
      <c r="B950" s="1" t="s">
        <v>1442</v>
      </c>
      <c r="C950" s="1" t="s">
        <v>1443</v>
      </c>
      <c r="D950" s="2">
        <v>17829</v>
      </c>
      <c r="E950" s="1" t="s">
        <v>29</v>
      </c>
      <c r="F950" s="1" t="s">
        <v>30</v>
      </c>
      <c r="G950" s="1" t="s">
        <v>24</v>
      </c>
      <c r="H950" s="1" t="s">
        <v>24</v>
      </c>
      <c r="I950" s="1" t="s">
        <v>111</v>
      </c>
      <c r="J950">
        <v>129240</v>
      </c>
      <c r="K950">
        <v>28470</v>
      </c>
      <c r="L950">
        <v>0</v>
      </c>
      <c r="M950">
        <v>0</v>
      </c>
      <c r="N950">
        <v>1</v>
      </c>
      <c r="O950" s="1" t="s">
        <v>119</v>
      </c>
      <c r="P950">
        <v>6</v>
      </c>
      <c r="Q950">
        <v>3</v>
      </c>
      <c r="R950">
        <v>3</v>
      </c>
      <c r="S950">
        <v>0</v>
      </c>
      <c r="T950">
        <v>0</v>
      </c>
      <c r="U950">
        <f>IF(openpolis_patrimoni_trasparenti_anno_2014[[#This Row],[totale_730_dichiarante]]&lt;&gt;0,LOG10(openpolis_patrimoni_trasparenti_anno_2014[[#This Row],[totale_730_dichiarante]]), 0)</f>
        <v>5.1113969493456066</v>
      </c>
    </row>
    <row r="951" spans="1:21" x14ac:dyDescent="0.3">
      <c r="A951">
        <v>687338</v>
      </c>
      <c r="B951" s="1" t="s">
        <v>310</v>
      </c>
      <c r="C951" s="1" t="s">
        <v>1444</v>
      </c>
      <c r="D951" s="2">
        <v>19108</v>
      </c>
      <c r="E951" s="1" t="s">
        <v>156</v>
      </c>
      <c r="F951" s="1" t="s">
        <v>30</v>
      </c>
      <c r="G951" s="1" t="s">
        <v>25</v>
      </c>
      <c r="H951" s="1" t="s">
        <v>97</v>
      </c>
      <c r="I951" s="1" t="s">
        <v>50</v>
      </c>
      <c r="J951">
        <v>115995</v>
      </c>
      <c r="K951">
        <v>0</v>
      </c>
      <c r="L951">
        <v>0</v>
      </c>
      <c r="M951">
        <v>0</v>
      </c>
      <c r="N951">
        <v>2</v>
      </c>
      <c r="O951" s="1" t="s">
        <v>43</v>
      </c>
      <c r="P951">
        <v>9</v>
      </c>
      <c r="Q951">
        <v>0</v>
      </c>
      <c r="R951">
        <v>1</v>
      </c>
      <c r="S951">
        <v>0</v>
      </c>
      <c r="T951">
        <v>1</v>
      </c>
      <c r="U951">
        <f>IF(openpolis_patrimoni_trasparenti_anno_2014[[#This Row],[totale_730_dichiarante]]&lt;&gt;0,LOG10(openpolis_patrimoni_trasparenti_anno_2014[[#This Row],[totale_730_dichiarante]]), 0)</f>
        <v>5.0644392692337306</v>
      </c>
    </row>
    <row r="952" spans="1:21" x14ac:dyDescent="0.3">
      <c r="A952">
        <v>687445</v>
      </c>
      <c r="B952" s="1" t="s">
        <v>1445</v>
      </c>
      <c r="C952" s="1" t="s">
        <v>1446</v>
      </c>
      <c r="D952" s="2">
        <v>20893</v>
      </c>
      <c r="E952" s="1" t="s">
        <v>29</v>
      </c>
      <c r="F952" s="1" t="s">
        <v>30</v>
      </c>
      <c r="G952" s="1" t="s">
        <v>54</v>
      </c>
      <c r="H952" s="1" t="s">
        <v>54</v>
      </c>
      <c r="I952" s="1" t="s">
        <v>477</v>
      </c>
      <c r="J952">
        <v>99943</v>
      </c>
      <c r="K952">
        <v>18758</v>
      </c>
      <c r="L952">
        <v>0</v>
      </c>
      <c r="M952">
        <v>0</v>
      </c>
      <c r="N952">
        <v>3</v>
      </c>
      <c r="O952" s="1" t="s">
        <v>32</v>
      </c>
      <c r="P952">
        <v>2</v>
      </c>
      <c r="Q952">
        <v>31</v>
      </c>
      <c r="R952">
        <v>1</v>
      </c>
      <c r="S952">
        <v>0</v>
      </c>
      <c r="T952">
        <v>0</v>
      </c>
      <c r="U952">
        <f>IF(openpolis_patrimoni_trasparenti_anno_2014[[#This Row],[totale_730_dichiarante]]&lt;&gt;0,LOG10(openpolis_patrimoni_trasparenti_anno_2014[[#This Row],[totale_730_dichiarante]]), 0)</f>
        <v>4.9997523815673555</v>
      </c>
    </row>
    <row r="953" spans="1:21" x14ac:dyDescent="0.3">
      <c r="A953">
        <v>288</v>
      </c>
      <c r="B953" s="1" t="s">
        <v>1447</v>
      </c>
      <c r="C953" s="1" t="s">
        <v>1448</v>
      </c>
      <c r="D953" s="2">
        <v>20200</v>
      </c>
      <c r="E953" s="1" t="s">
        <v>29</v>
      </c>
      <c r="F953" s="1" t="s">
        <v>67</v>
      </c>
      <c r="G953" s="1" t="s">
        <v>36</v>
      </c>
      <c r="H953" s="1" t="s">
        <v>37</v>
      </c>
      <c r="I953" s="1" t="s">
        <v>58</v>
      </c>
      <c r="J953">
        <v>103195</v>
      </c>
      <c r="K953">
        <v>0</v>
      </c>
      <c r="L953">
        <v>0</v>
      </c>
      <c r="M953">
        <v>10684.2</v>
      </c>
      <c r="N953">
        <v>2</v>
      </c>
      <c r="O953" s="1" t="s">
        <v>43</v>
      </c>
      <c r="P953">
        <v>13</v>
      </c>
      <c r="Q953">
        <v>1</v>
      </c>
      <c r="R953">
        <v>3</v>
      </c>
      <c r="S953">
        <v>2</v>
      </c>
      <c r="T953">
        <v>0</v>
      </c>
      <c r="U953">
        <f>IF(openpolis_patrimoni_trasparenti_anno_2014[[#This Row],[totale_730_dichiarante]]&lt;&gt;0,LOG10(openpolis_patrimoni_trasparenti_anno_2014[[#This Row],[totale_730_dichiarante]]), 0)</f>
        <v>5.0136586553821356</v>
      </c>
    </row>
    <row r="954" spans="1:21" x14ac:dyDescent="0.3">
      <c r="A954">
        <v>687668</v>
      </c>
      <c r="B954" s="1" t="s">
        <v>778</v>
      </c>
      <c r="C954" s="1" t="s">
        <v>1449</v>
      </c>
      <c r="D954" s="2">
        <v>22238</v>
      </c>
      <c r="E954" s="1" t="s">
        <v>29</v>
      </c>
      <c r="F954" s="1" t="s">
        <v>377</v>
      </c>
      <c r="G954" s="1" t="s">
        <v>237</v>
      </c>
      <c r="H954" s="1" t="s">
        <v>25</v>
      </c>
      <c r="I954" s="1" t="s">
        <v>46</v>
      </c>
      <c r="J954">
        <v>108510</v>
      </c>
      <c r="K954">
        <v>289152</v>
      </c>
      <c r="L954">
        <v>0</v>
      </c>
      <c r="M954">
        <v>0</v>
      </c>
      <c r="N954">
        <v>2</v>
      </c>
      <c r="O954" s="1" t="s">
        <v>195</v>
      </c>
      <c r="P954">
        <v>6</v>
      </c>
      <c r="Q954">
        <v>0</v>
      </c>
      <c r="R954">
        <v>3</v>
      </c>
      <c r="S954">
        <v>1</v>
      </c>
      <c r="T954">
        <v>2</v>
      </c>
      <c r="U954">
        <f>IF(openpolis_patrimoni_trasparenti_anno_2014[[#This Row],[totale_730_dichiarante]]&lt;&gt;0,LOG10(openpolis_patrimoni_trasparenti_anno_2014[[#This Row],[totale_730_dichiarante]]), 0)</f>
        <v>5.0354697634812817</v>
      </c>
    </row>
    <row r="955" spans="1:21" x14ac:dyDescent="0.3">
      <c r="A955">
        <v>4615</v>
      </c>
      <c r="B955" s="1" t="s">
        <v>734</v>
      </c>
      <c r="C955" s="1" t="s">
        <v>1450</v>
      </c>
      <c r="D955" s="2">
        <v>24330</v>
      </c>
      <c r="E955" s="1" t="s">
        <v>22</v>
      </c>
      <c r="F955" s="1" t="s">
        <v>23</v>
      </c>
      <c r="G955" s="1" t="s">
        <v>79</v>
      </c>
      <c r="H955" s="1" t="s">
        <v>25</v>
      </c>
      <c r="I955" s="1" t="s">
        <v>25</v>
      </c>
      <c r="J955">
        <v>102931</v>
      </c>
      <c r="K955">
        <v>130948</v>
      </c>
      <c r="L955">
        <v>0</v>
      </c>
      <c r="M955">
        <v>0</v>
      </c>
      <c r="N955">
        <v>1</v>
      </c>
      <c r="O955" s="1" t="s">
        <v>1451</v>
      </c>
      <c r="P955">
        <v>10</v>
      </c>
      <c r="Q955">
        <v>1</v>
      </c>
      <c r="R955">
        <v>1</v>
      </c>
      <c r="S955">
        <v>0</v>
      </c>
      <c r="T955">
        <v>0</v>
      </c>
      <c r="U955">
        <f>IF(openpolis_patrimoni_trasparenti_anno_2014[[#This Row],[totale_730_dichiarante]]&lt;&gt;0,LOG10(openpolis_patrimoni_trasparenti_anno_2014[[#This Row],[totale_730_dichiarante]]), 0)</f>
        <v>5.0125461920741188</v>
      </c>
    </row>
    <row r="956" spans="1:21" x14ac:dyDescent="0.3">
      <c r="A956">
        <v>167</v>
      </c>
      <c r="B956" s="1" t="s">
        <v>1452</v>
      </c>
      <c r="C956" s="1" t="s">
        <v>262</v>
      </c>
      <c r="D956" s="2">
        <v>25872</v>
      </c>
      <c r="E956" s="1" t="s">
        <v>41</v>
      </c>
      <c r="F956" s="1" t="s">
        <v>176</v>
      </c>
      <c r="G956" s="1" t="s">
        <v>263</v>
      </c>
      <c r="H956" s="1" t="s">
        <v>25</v>
      </c>
      <c r="I956" s="1" t="s">
        <v>200</v>
      </c>
      <c r="J956">
        <v>99254</v>
      </c>
      <c r="K956">
        <v>0</v>
      </c>
      <c r="L956">
        <v>0</v>
      </c>
      <c r="M956">
        <v>0</v>
      </c>
      <c r="N956">
        <v>2</v>
      </c>
      <c r="O956" s="1" t="s">
        <v>195</v>
      </c>
      <c r="P956">
        <v>2</v>
      </c>
      <c r="Q956">
        <v>12</v>
      </c>
      <c r="R956">
        <v>3</v>
      </c>
      <c r="S956">
        <v>0</v>
      </c>
      <c r="T956">
        <v>0</v>
      </c>
      <c r="U956">
        <f>IF(openpolis_patrimoni_trasparenti_anno_2014[[#This Row],[totale_730_dichiarante]]&lt;&gt;0,LOG10(openpolis_patrimoni_trasparenti_anno_2014[[#This Row],[totale_730_dichiarante]]), 0)</f>
        <v>4.9967480181346229</v>
      </c>
    </row>
    <row r="957" spans="1:21" x14ac:dyDescent="0.3">
      <c r="A957">
        <v>449</v>
      </c>
      <c r="B957" s="1" t="s">
        <v>44</v>
      </c>
      <c r="C957" s="1" t="s">
        <v>1453</v>
      </c>
      <c r="D957" s="2">
        <v>20050</v>
      </c>
      <c r="E957" s="1" t="s">
        <v>156</v>
      </c>
      <c r="F957" s="1" t="s">
        <v>176</v>
      </c>
      <c r="G957" s="1" t="s">
        <v>177</v>
      </c>
      <c r="H957" s="1" t="s">
        <v>25</v>
      </c>
      <c r="I957" s="1" t="s">
        <v>50</v>
      </c>
      <c r="J957">
        <v>126864</v>
      </c>
      <c r="K957">
        <v>34020</v>
      </c>
      <c r="L957">
        <v>0</v>
      </c>
      <c r="M957">
        <v>0</v>
      </c>
      <c r="N957">
        <v>1</v>
      </c>
      <c r="O957" s="1" t="s">
        <v>1454</v>
      </c>
      <c r="P957">
        <v>20</v>
      </c>
      <c r="Q957">
        <v>0</v>
      </c>
      <c r="R957">
        <v>1</v>
      </c>
      <c r="S957">
        <v>23</v>
      </c>
      <c r="T957">
        <v>0</v>
      </c>
      <c r="U957">
        <f>IF(openpolis_patrimoni_trasparenti_anno_2014[[#This Row],[totale_730_dichiarante]]&lt;&gt;0,LOG10(openpolis_patrimoni_trasparenti_anno_2014[[#This Row],[totale_730_dichiarante]]), 0)</f>
        <v>5.1033384005072975</v>
      </c>
    </row>
    <row r="958" spans="1:21" x14ac:dyDescent="0.3">
      <c r="A958">
        <v>14</v>
      </c>
      <c r="B958" s="1" t="s">
        <v>1455</v>
      </c>
      <c r="C958" s="1" t="s">
        <v>1456</v>
      </c>
      <c r="D958" s="2">
        <v>18409</v>
      </c>
      <c r="E958" s="1" t="s">
        <v>29</v>
      </c>
      <c r="F958" s="1" t="s">
        <v>30</v>
      </c>
      <c r="G958" s="1" t="s">
        <v>36</v>
      </c>
      <c r="H958" s="1" t="s">
        <v>37</v>
      </c>
      <c r="I958" s="1" t="s">
        <v>178</v>
      </c>
      <c r="J958">
        <v>216238</v>
      </c>
      <c r="K958">
        <v>0</v>
      </c>
      <c r="L958">
        <v>0</v>
      </c>
      <c r="M958">
        <v>0</v>
      </c>
      <c r="N958">
        <v>2</v>
      </c>
      <c r="O958" s="1" t="s">
        <v>43</v>
      </c>
      <c r="P958">
        <v>9</v>
      </c>
      <c r="Q958">
        <v>3</v>
      </c>
      <c r="R958">
        <v>4</v>
      </c>
      <c r="S958">
        <v>3</v>
      </c>
      <c r="T958">
        <v>0</v>
      </c>
      <c r="U958">
        <f>IF(openpolis_patrimoni_trasparenti_anno_2014[[#This Row],[totale_730_dichiarante]]&lt;&gt;0,LOG10(openpolis_patrimoni_trasparenti_anno_2014[[#This Row],[totale_730_dichiarante]]), 0)</f>
        <v>5.334932015889982</v>
      </c>
    </row>
    <row r="959" spans="1:21" x14ac:dyDescent="0.3">
      <c r="A959">
        <v>174</v>
      </c>
      <c r="B959" s="1" t="s">
        <v>1457</v>
      </c>
      <c r="C959" s="1" t="s">
        <v>1458</v>
      </c>
      <c r="D959" s="2">
        <v>21316</v>
      </c>
      <c r="E959" s="1" t="s">
        <v>22</v>
      </c>
      <c r="F959" s="1" t="s">
        <v>176</v>
      </c>
      <c r="G959" s="1" t="s">
        <v>177</v>
      </c>
      <c r="H959" s="1" t="s">
        <v>25</v>
      </c>
      <c r="I959" s="1" t="s">
        <v>159</v>
      </c>
      <c r="J959">
        <v>98482</v>
      </c>
      <c r="K959">
        <v>66546</v>
      </c>
      <c r="L959">
        <v>0</v>
      </c>
      <c r="M959">
        <v>0</v>
      </c>
      <c r="N959">
        <v>1</v>
      </c>
      <c r="O959" s="1" t="s">
        <v>1280</v>
      </c>
      <c r="P959">
        <v>2</v>
      </c>
      <c r="Q959">
        <v>0</v>
      </c>
      <c r="R959">
        <v>1</v>
      </c>
      <c r="S959">
        <v>0</v>
      </c>
      <c r="T959">
        <v>0</v>
      </c>
      <c r="U959">
        <f>IF(openpolis_patrimoni_trasparenti_anno_2014[[#This Row],[totale_730_dichiarante]]&lt;&gt;0,LOG10(openpolis_patrimoni_trasparenti_anno_2014[[#This Row],[totale_730_dichiarante]]), 0)</f>
        <v>4.9933568597866227</v>
      </c>
    </row>
    <row r="960" spans="1:21" x14ac:dyDescent="0.3">
      <c r="A960">
        <v>572</v>
      </c>
      <c r="B960" s="1" t="s">
        <v>1459</v>
      </c>
      <c r="C960" s="1" t="s">
        <v>1460</v>
      </c>
      <c r="D960" s="2">
        <v>20612</v>
      </c>
      <c r="E960" s="1" t="s">
        <v>22</v>
      </c>
      <c r="F960" s="1" t="s">
        <v>377</v>
      </c>
      <c r="G960" s="1" t="s">
        <v>177</v>
      </c>
      <c r="H960" s="1" t="s">
        <v>25</v>
      </c>
      <c r="I960" s="1" t="s">
        <v>42</v>
      </c>
      <c r="J960">
        <v>101297</v>
      </c>
      <c r="K960">
        <v>3207</v>
      </c>
      <c r="L960">
        <v>0</v>
      </c>
      <c r="M960">
        <v>0</v>
      </c>
      <c r="N960">
        <v>1</v>
      </c>
      <c r="O960" s="1" t="s">
        <v>1461</v>
      </c>
      <c r="P960">
        <v>6</v>
      </c>
      <c r="Q960">
        <v>0</v>
      </c>
      <c r="R960">
        <v>2</v>
      </c>
      <c r="S960">
        <v>4</v>
      </c>
      <c r="T960">
        <v>0</v>
      </c>
      <c r="U960">
        <f>IF(openpolis_patrimoni_trasparenti_anno_2014[[#This Row],[totale_730_dichiarante]]&lt;&gt;0,LOG10(openpolis_patrimoni_trasparenti_anno_2014[[#This Row],[totale_730_dichiarante]]), 0)</f>
        <v>5.0055965835366028</v>
      </c>
    </row>
    <row r="961" spans="1:21" x14ac:dyDescent="0.3">
      <c r="A961">
        <v>239</v>
      </c>
      <c r="B961" s="1" t="s">
        <v>1462</v>
      </c>
      <c r="C961" s="1" t="s">
        <v>1463</v>
      </c>
      <c r="D961" s="2">
        <v>20470</v>
      </c>
      <c r="E961" s="1" t="s">
        <v>63</v>
      </c>
      <c r="F961" s="1" t="s">
        <v>176</v>
      </c>
      <c r="G961" s="1" t="s">
        <v>177</v>
      </c>
      <c r="H961" s="1" t="s">
        <v>25</v>
      </c>
      <c r="I961" s="1" t="s">
        <v>284</v>
      </c>
      <c r="J961">
        <v>135573</v>
      </c>
      <c r="K961">
        <v>0</v>
      </c>
      <c r="L961">
        <v>0</v>
      </c>
      <c r="M961">
        <v>0</v>
      </c>
      <c r="N961">
        <v>1</v>
      </c>
      <c r="O961" s="1" t="s">
        <v>1464</v>
      </c>
      <c r="P961">
        <v>21</v>
      </c>
      <c r="Q961">
        <v>0</v>
      </c>
      <c r="R961">
        <v>2</v>
      </c>
      <c r="S961">
        <v>1</v>
      </c>
      <c r="T961">
        <v>0</v>
      </c>
      <c r="U961">
        <f>IF(openpolis_patrimoni_trasparenti_anno_2014[[#This Row],[totale_730_dichiarante]]&lt;&gt;0,LOG10(openpolis_patrimoni_trasparenti_anno_2014[[#This Row],[totale_730_dichiarante]]), 0)</f>
        <v>5.132173206355727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0684F-B338-48F2-A2AE-ED86B4D7D5B9}">
  <dimension ref="A1:C28"/>
  <sheetViews>
    <sheetView tabSelected="1" zoomScale="85" zoomScaleNormal="85" workbookViewId="0">
      <selection activeCell="F7" sqref="F7"/>
    </sheetView>
  </sheetViews>
  <sheetFormatPr defaultRowHeight="14.4" x14ac:dyDescent="0.3"/>
  <cols>
    <col min="1" max="1" width="26.77734375" customWidth="1"/>
    <col min="2" max="2" width="19.109375" customWidth="1"/>
    <col min="3" max="3" width="12" customWidth="1"/>
  </cols>
  <sheetData>
    <row r="1" spans="1:3" x14ac:dyDescent="0.3">
      <c r="A1" s="5" t="s">
        <v>1465</v>
      </c>
      <c r="B1" s="5"/>
    </row>
    <row r="2" spans="1:3" x14ac:dyDescent="0.3">
      <c r="A2" t="s">
        <v>1466</v>
      </c>
      <c r="B2" s="4">
        <f>AVERAGE(openpolis_patrimoni_trasparenti_anno_2014[totale_730_dichiarante])</f>
        <v>143102.75447916656</v>
      </c>
    </row>
    <row r="3" spans="1:3" x14ac:dyDescent="0.3">
      <c r="A3" t="s">
        <v>1467</v>
      </c>
      <c r="B3" s="4">
        <f>MEDIAN('Dataset 2014'!J929:J961)</f>
        <v>107264</v>
      </c>
    </row>
    <row r="4" spans="1:3" x14ac:dyDescent="0.3">
      <c r="A4" t="s">
        <v>1468</v>
      </c>
      <c r="B4" s="4">
        <f>(MIN(openpolis_patrimoni_trasparenti_anno_2014[totale_730_dichiarante])+MAX(openpolis_patrimoni_trasparenti_anno_2014[totale_730_dichiarante]))/2</f>
        <v>2677802</v>
      </c>
    </row>
    <row r="5" spans="1:3" x14ac:dyDescent="0.3">
      <c r="B5" s="4"/>
    </row>
    <row r="6" spans="1:3" x14ac:dyDescent="0.3">
      <c r="A6" t="s">
        <v>1469</v>
      </c>
      <c r="B6" s="4">
        <f>_xlfn.STDEV.P(openpolis_patrimoni_trasparenti_anno_2014[totale_730_dichiarante])</f>
        <v>302051.70577938715</v>
      </c>
    </row>
    <row r="7" spans="1:3" x14ac:dyDescent="0.3">
      <c r="A7" t="s">
        <v>1470</v>
      </c>
      <c r="B7" s="4">
        <f>QUARTILE(openpolis_patrimoni_trasparenti_anno_2014[totale_730_dichiarante],3)-QUARTILE(openpolis_patrimoni_trasparenti_anno_2014[totale_730_dichiarante],1)</f>
        <v>31154</v>
      </c>
    </row>
    <row r="8" spans="1:3" x14ac:dyDescent="0.3">
      <c r="A8" t="s">
        <v>1471</v>
      </c>
      <c r="B8" s="4">
        <f>AVEDEV(openpolis_patrimoni_trasparenti_anno_2014[totale_730_dichiarante])</f>
        <v>81534.840322917866</v>
      </c>
    </row>
    <row r="9" spans="1:3" x14ac:dyDescent="0.3">
      <c r="A9" t="s">
        <v>1472</v>
      </c>
      <c r="B9" s="4">
        <f>MAX(openpolis_patrimoni_trasparenti_anno_2014[totale_730_dichiarante])-MIN(openpolis_patrimoni_trasparenti_anno_2014[totale_730_dichiarante])</f>
        <v>5355604</v>
      </c>
    </row>
    <row r="11" spans="1:3" x14ac:dyDescent="0.3">
      <c r="A11" s="5" t="s">
        <v>1473</v>
      </c>
      <c r="B11" s="5"/>
    </row>
    <row r="12" spans="1:3" x14ac:dyDescent="0.3">
      <c r="A12" t="s">
        <v>1475</v>
      </c>
      <c r="B12" cm="1">
        <f t="array" ref="B12">MIN(_xlfn._xlws.FILTER(openpolis_patrimoni_trasparenti_anno_2014[log(totale_730_dichiarante)],openpolis_patrimoni_trasparenti_anno_2014[log(totale_730_dichiarante)]&lt;&gt;0))</f>
        <v>3.2412973871099933</v>
      </c>
    </row>
    <row r="13" spans="1:3" x14ac:dyDescent="0.3">
      <c r="A13" t="s">
        <v>1476</v>
      </c>
      <c r="B13" cm="1">
        <f t="array" ref="B13">MAX(_xlfn._xlws.FILTER(openpolis_patrimoni_trasparenti_anno_2014[log(totale_730_dichiarante)],openpolis_patrimoni_trasparenti_anno_2014[log(totale_730_dichiarante)]&lt;&gt;0))</f>
        <v>6.7288084572546643</v>
      </c>
    </row>
    <row r="14" spans="1:3" x14ac:dyDescent="0.3">
      <c r="A14" s="6" t="s">
        <v>1478</v>
      </c>
      <c r="B14" s="6" t="s">
        <v>1480</v>
      </c>
      <c r="C14" s="6" t="s">
        <v>1477</v>
      </c>
    </row>
    <row r="15" spans="1:3" x14ac:dyDescent="0.3">
      <c r="A15">
        <v>3.2</v>
      </c>
      <c r="B15" s="7" t="s">
        <v>1481</v>
      </c>
      <c r="C15" cm="1">
        <f t="array" ref="C15:C28">FREQUENCY(openpolis_patrimoni_trasparenti_anno_2014[log(totale_730_dichiarante)],Tasks!A15:A27)</f>
        <v>3</v>
      </c>
    </row>
    <row r="16" spans="1:3" x14ac:dyDescent="0.3">
      <c r="A16">
        <f>A15+0.3</f>
        <v>3.5</v>
      </c>
      <c r="B16" s="7" t="str">
        <f>A15&amp;" - "&amp;A16</f>
        <v>3,2 - 3,5</v>
      </c>
      <c r="C16">
        <v>1</v>
      </c>
    </row>
    <row r="17" spans="1:3" x14ac:dyDescent="0.3">
      <c r="A17">
        <f t="shared" ref="A17:A26" si="0">A16+0.3</f>
        <v>3.8</v>
      </c>
      <c r="B17" s="7" t="str">
        <f t="shared" ref="B17:B28" si="1">A16&amp;" - "&amp;A17</f>
        <v>3,5 - 3,8</v>
      </c>
      <c r="C17">
        <v>0</v>
      </c>
    </row>
    <row r="18" spans="1:3" x14ac:dyDescent="0.3">
      <c r="A18">
        <f t="shared" si="0"/>
        <v>4.0999999999999996</v>
      </c>
      <c r="B18" s="7" t="str">
        <f t="shared" si="1"/>
        <v>3,8 - 4,1</v>
      </c>
      <c r="C18">
        <v>0</v>
      </c>
    </row>
    <row r="19" spans="1:3" x14ac:dyDescent="0.3">
      <c r="A19">
        <f t="shared" si="0"/>
        <v>4.3999999999999995</v>
      </c>
      <c r="B19" s="7" t="str">
        <f t="shared" si="1"/>
        <v>4,1 - 4,4</v>
      </c>
      <c r="C19">
        <v>5</v>
      </c>
    </row>
    <row r="20" spans="1:3" x14ac:dyDescent="0.3">
      <c r="A20">
        <f t="shared" si="0"/>
        <v>4.6999999999999993</v>
      </c>
      <c r="B20" s="7" t="str">
        <f t="shared" si="1"/>
        <v>4,4 - 4,7</v>
      </c>
      <c r="C20">
        <v>9</v>
      </c>
    </row>
    <row r="21" spans="1:3" x14ac:dyDescent="0.3">
      <c r="A21">
        <f t="shared" si="0"/>
        <v>4.9999999999999991</v>
      </c>
      <c r="B21" s="7" t="str">
        <f t="shared" si="1"/>
        <v>4,7 - 5</v>
      </c>
      <c r="C21">
        <v>516</v>
      </c>
    </row>
    <row r="22" spans="1:3" x14ac:dyDescent="0.3">
      <c r="A22">
        <f>A21+0.3</f>
        <v>5.2999999999999989</v>
      </c>
      <c r="B22" s="7" t="str">
        <f t="shared" si="1"/>
        <v>5 - 5,3</v>
      </c>
      <c r="C22">
        <v>356</v>
      </c>
    </row>
    <row r="23" spans="1:3" x14ac:dyDescent="0.3">
      <c r="A23">
        <f t="shared" si="0"/>
        <v>5.5999999999999988</v>
      </c>
      <c r="B23" s="7" t="str">
        <f t="shared" si="1"/>
        <v>5,3 - 5,6</v>
      </c>
      <c r="C23">
        <v>46</v>
      </c>
    </row>
    <row r="24" spans="1:3" x14ac:dyDescent="0.3">
      <c r="A24">
        <f t="shared" si="0"/>
        <v>5.8999999999999986</v>
      </c>
      <c r="B24" s="7" t="str">
        <f t="shared" si="1"/>
        <v>5,6 - 5,9</v>
      </c>
      <c r="C24">
        <v>12</v>
      </c>
    </row>
    <row r="25" spans="1:3" x14ac:dyDescent="0.3">
      <c r="A25">
        <f>A24+0.3</f>
        <v>6.1999999999999984</v>
      </c>
      <c r="B25" s="7" t="str">
        <f t="shared" si="1"/>
        <v>5,9 - 6,2</v>
      </c>
      <c r="C25">
        <v>5</v>
      </c>
    </row>
    <row r="26" spans="1:3" x14ac:dyDescent="0.3">
      <c r="A26">
        <f t="shared" si="0"/>
        <v>6.4999999999999982</v>
      </c>
      <c r="B26" s="7" t="str">
        <f t="shared" si="1"/>
        <v>6,2 - 6,5</v>
      </c>
      <c r="C26">
        <v>3</v>
      </c>
    </row>
    <row r="27" spans="1:3" x14ac:dyDescent="0.3">
      <c r="A27">
        <f>A26+0.3</f>
        <v>6.799999999999998</v>
      </c>
      <c r="B27" s="7" t="str">
        <f t="shared" si="1"/>
        <v>6,5 - 6,8</v>
      </c>
      <c r="C27">
        <v>4</v>
      </c>
    </row>
    <row r="28" spans="1:3" x14ac:dyDescent="0.3">
      <c r="A28" s="8" t="s">
        <v>1479</v>
      </c>
      <c r="B28" s="7" t="str">
        <f t="shared" si="1"/>
        <v>6,8 - ∞</v>
      </c>
      <c r="C28">
        <v>0</v>
      </c>
    </row>
  </sheetData>
  <mergeCells count="2">
    <mergeCell ref="A1:B1"/>
    <mergeCell ref="A11:B11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DF28FF-5F33-405C-BC36-6667E4BDC3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 2014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Camastra</dc:creator>
  <cp:lastModifiedBy>Matteo Camastra</cp:lastModifiedBy>
  <dcterms:created xsi:type="dcterms:W3CDTF">2026-03-10T11:06:20Z</dcterms:created>
  <dcterms:modified xsi:type="dcterms:W3CDTF">2026-03-10T13:06:24Z</dcterms:modified>
</cp:coreProperties>
</file>