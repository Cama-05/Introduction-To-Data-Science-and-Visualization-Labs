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tte\Desktop\PoliTo\Data Science and  Visualization\Lab\dsv-lab-1\"/>
    </mc:Choice>
  </mc:AlternateContent>
  <xr:revisionPtr revIDLastSave="0" documentId="8_{584482B5-2735-451E-82EB-B65859A63B9F}" xr6:coauthVersionLast="47" xr6:coauthVersionMax="47" xr10:uidLastSave="{00000000-0000-0000-0000-000000000000}"/>
  <bookViews>
    <workbookView xWindow="-108" yWindow="-108" windowWidth="23256" windowHeight="12456" xr2:uid="{468CE67D-131B-460B-B8C6-FFE63BE23A03}"/>
  </bookViews>
  <sheets>
    <sheet name="Scorers2026" sheetId="2" r:id="rId1"/>
    <sheet name="Foglio1" sheetId="1" r:id="rId2"/>
  </sheets>
  <definedNames>
    <definedName name="DatiEsterni_1" localSheetId="0" hidden="1">Scorers2026!$A$1:$F$246</definedName>
  </definedName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" i="2" l="1"/>
  <c r="J56" i="2"/>
  <c r="J55" i="2"/>
  <c r="J54" i="2"/>
  <c r="J53" i="2"/>
  <c r="J52" i="2"/>
  <c r="J51" i="2"/>
  <c r="L13" i="2" a="1"/>
  <c r="L13" i="2" s="1"/>
  <c r="M13" i="2" s="1"/>
  <c r="L27" i="2" a="1"/>
  <c r="L27" i="2" s="1"/>
  <c r="M27" i="2" s="1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21" i="2"/>
  <c r="M20" i="2"/>
  <c r="M19" i="2"/>
  <c r="M18" i="2"/>
  <c r="M17" i="2"/>
  <c r="M16" i="2"/>
  <c r="M15" i="2"/>
  <c r="M14" i="2"/>
  <c r="J9" i="2"/>
  <c r="J8" i="2"/>
  <c r="J7" i="2"/>
  <c r="J6" i="2"/>
  <c r="J5" i="2"/>
  <c r="J4" i="2"/>
  <c r="J3" i="2"/>
  <c r="J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445E01-2F53-41A1-8CD8-61092B6C49B8}" keepAlive="1" name="Query - Scorers2026" description="Connessione alla query 'Scorers2026' nella cartella di lavoro." type="5" refreshedVersion="8" background="1" saveData="1">
    <dbPr connection="Provider=Microsoft.Mashup.OleDb.1;Data Source=$Workbook$;Location=Scorers2026;Extended Properties=&quot;&quot;" command="SELECT * FROM [Scorers2026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<sst xmlns="http://schemas.openxmlformats.org/spreadsheetml/2006/main" count="794" uniqueCount="304">
  <si>
    <t>Rank</t>
  </si>
  <si>
    <t>Player</t>
  </si>
  <si>
    <t>Team</t>
  </si>
  <si>
    <t>Position</t>
  </si>
  <si>
    <t>Goals</t>
  </si>
  <si>
    <t>Penalties</t>
  </si>
  <si>
    <t>L. Martínez</t>
  </si>
  <si>
    <t>Inter</t>
  </si>
  <si>
    <t>Attaccante</t>
  </si>
  <si>
    <t>T. Douvikas</t>
  </si>
  <si>
    <t>Como</t>
  </si>
  <si>
    <t>R. Højlund</t>
  </si>
  <si>
    <t>Napoli</t>
  </si>
  <si>
    <t>N. Paz</t>
  </si>
  <si>
    <t>Centrocampista</t>
  </si>
  <si>
    <t>C. Pulisic</t>
  </si>
  <si>
    <t>Milan</t>
  </si>
  <si>
    <t>K. Yildiz</t>
  </si>
  <si>
    <t>Juventus</t>
  </si>
  <si>
    <t>S. Castro</t>
  </si>
  <si>
    <t>Bologna</t>
  </si>
  <si>
    <t>K. Davis</t>
  </si>
  <si>
    <t>Udinese</t>
  </si>
  <si>
    <t>M. Kean</t>
  </si>
  <si>
    <t>Fiorentina</t>
  </si>
  <si>
    <t>N. Krstovic</t>
  </si>
  <si>
    <t>Atalanta</t>
  </si>
  <si>
    <t>G. Orban</t>
  </si>
  <si>
    <t>Hellas Verona</t>
  </si>
  <si>
    <t>R. Orsolini</t>
  </si>
  <si>
    <t>M. Pellegrino</t>
  </si>
  <si>
    <t>Parma</t>
  </si>
  <si>
    <t>M. Thuram</t>
  </si>
  <si>
    <t>R. Leão</t>
  </si>
  <si>
    <t>H. Çalhanoglu</t>
  </si>
  <si>
    <t>L. Colombo</t>
  </si>
  <si>
    <t>Genoa</t>
  </si>
  <si>
    <t>R. Mandragora</t>
  </si>
  <si>
    <t>S. McTominay</t>
  </si>
  <si>
    <t>G. Scamacca</t>
  </si>
  <si>
    <t>M. Soulé</t>
  </si>
  <si>
    <t>Roma</t>
  </si>
  <si>
    <t>N. Vlasic</t>
  </si>
  <si>
    <t>Torino</t>
  </si>
  <si>
    <t>D. Berardi</t>
  </si>
  <si>
    <t>Sassuolo</t>
  </si>
  <si>
    <t>F. Bonazzoli</t>
  </si>
  <si>
    <t>Cremonese</t>
  </si>
  <si>
    <t>A. Bonny</t>
  </si>
  <si>
    <t>J. David</t>
  </si>
  <si>
    <t>F. Dimarco</t>
  </si>
  <si>
    <t>Difensore</t>
  </si>
  <si>
    <t>D. Malen</t>
  </si>
  <si>
    <t>R. Malinovskyi</t>
  </si>
  <si>
    <t>S. Moreo</t>
  </si>
  <si>
    <t>Pisa</t>
  </si>
  <si>
    <t>C. Nkunku</t>
  </si>
  <si>
    <t>A. Pinamonti</t>
  </si>
  <si>
    <t>G. Simeone</t>
  </si>
  <si>
    <t>J. Vardy</t>
  </si>
  <si>
    <t>N. Zaniolo</t>
  </si>
  <si>
    <t>P. Zielinski</t>
  </si>
  <si>
    <t>C. Adams</t>
  </si>
  <si>
    <t>F. Anguissa</t>
  </si>
  <si>
    <t>M. Baturina</t>
  </si>
  <si>
    <t>K. De Bruyne</t>
  </si>
  <si>
    <t>F. Pio Esposito</t>
  </si>
  <si>
    <t>A. Gudmundsson</t>
  </si>
  <si>
    <t>S. Kiliçsoy</t>
  </si>
  <si>
    <t>Cagliari</t>
  </si>
  <si>
    <t>I. Koné</t>
  </si>
  <si>
    <t>A. Laurienté</t>
  </si>
  <si>
    <t>W. McKennie</t>
  </si>
  <si>
    <t>J. Odgaard</t>
  </si>
  <si>
    <t>A. Rabiot</t>
  </si>
  <si>
    <t>L. Østigård</t>
  </si>
  <si>
    <t>J. Addai</t>
  </si>
  <si>
    <t>L. Banda</t>
  </si>
  <si>
    <t>Lecce</t>
  </si>
  <si>
    <t>A. Bernabé</t>
  </si>
  <si>
    <t>G. Borrelli</t>
  </si>
  <si>
    <t>N. Cambiaghi</t>
  </si>
  <si>
    <t>M. Cancellieri</t>
  </si>
  <si>
    <t>Lazio</t>
  </si>
  <si>
    <t>Vítinha</t>
  </si>
  <si>
    <t>C. Casadei</t>
  </si>
  <si>
    <t>D. Cataldi</t>
  </si>
  <si>
    <t>C. De Ketelaere</t>
  </si>
  <si>
    <t>A. Dovbyk</t>
  </si>
  <si>
    <t>J. Ekkelenkamp</t>
  </si>
  <si>
    <t>S. Esposito</t>
  </si>
  <si>
    <t>E. Ferguson</t>
  </si>
  <si>
    <t>Wesley</t>
  </si>
  <si>
    <t>G. Isaksen</t>
  </si>
  <si>
    <t>M. Oliver Kempf</t>
  </si>
  <si>
    <t>F. Kostic</t>
  </si>
  <si>
    <t>R. Loftus-Cheek</t>
  </si>
  <si>
    <t>D. Neres</t>
  </si>
  <si>
    <t>M. Nzola</t>
  </si>
  <si>
    <t>L. Pellegrini</t>
  </si>
  <si>
    <t>Pedro</t>
  </si>
  <si>
    <t>Giovane</t>
  </si>
  <si>
    <t>Bremer</t>
  </si>
  <si>
    <t>O. Solet</t>
  </si>
  <si>
    <t>L. Spinazzola</t>
  </si>
  <si>
    <t>M. Thorsby</t>
  </si>
  <si>
    <t>D. Vlahovic</t>
  </si>
  <si>
    <t>M. Zaccagni</t>
  </si>
  <si>
    <t>A. Atta</t>
  </si>
  <si>
    <t>D. Bartesaghi</t>
  </si>
  <si>
    <t>F. Baschirotto</t>
  </si>
  <si>
    <t>R. Belghali</t>
  </si>
  <si>
    <t>A. Belotti</t>
  </si>
  <si>
    <t>M. Berisha</t>
  </si>
  <si>
    <t>Y. Bisseck</t>
  </si>
  <si>
    <t>M. Brescianini</t>
  </si>
  <si>
    <t>J. Cabal</t>
  </si>
  <si>
    <t>A. Cambiaso</t>
  </si>
  <si>
    <t>V. Castellanos</t>
  </si>
  <si>
    <t>L. Coulibaly</t>
  </si>
  <si>
    <t>P. Dybala</t>
  </si>
  <si>
    <t>J. Ekhator</t>
  </si>
  <si>
    <t>C. Ekuban</t>
  </si>
  <si>
    <t>G. Fabbian</t>
  </si>
  <si>
    <t>A. Fadera</t>
  </si>
  <si>
    <t>M. Felici</t>
  </si>
  <si>
    <t>F. Conceição</t>
  </si>
  <si>
    <t>G. Gaetano</t>
  </si>
  <si>
    <t>O. Gandelman</t>
  </si>
  <si>
    <t>R. Gosens</t>
  </si>
  <si>
    <t>M. Guendouzi</t>
  </si>
  <si>
    <t>R. Idrissi</t>
  </si>
  <si>
    <t>C. Kabasele</t>
  </si>
  <si>
    <t>P. Kalulu</t>
  </si>
  <si>
    <t>M. Koné</t>
  </si>
  <si>
    <t>A. Lookman</t>
  </si>
  <si>
    <t>G. Maripán</t>
  </si>
  <si>
    <t>L. Mazzitelli</t>
  </si>
  <si>
    <t>H. Meister</t>
  </si>
  <si>
    <t>L. Modric</t>
  </si>
  <si>
    <t>N. Moro</t>
  </si>
  <si>
    <t>T. Muharemovic</t>
  </si>
  <si>
    <t>T. Noslin</t>
  </si>
  <si>
    <t>K. Nâ€™Dri</t>
  </si>
  <si>
    <t>M. Pasalic</t>
  </si>
  <si>
    <t>S. Pavlovic</t>
  </si>
  <si>
    <t>M. Perrone</t>
  </si>
  <si>
    <t>R. Piccoli</t>
  </si>
  <si>
    <t>T. Pobega</t>
  </si>
  <si>
    <t>J. Ramón</t>
  </si>
  <si>
    <t>A. Saelemaekers</t>
  </si>
  <si>
    <t>G. Scalvini</t>
  </si>
  <si>
    <t>S. Serdar</t>
  </si>
  <si>
    <t>M. Solomon</t>
  </si>
  <si>
    <t>N. Stulic</t>
  </si>
  <si>
    <t>K. Sulemana</t>
  </si>
  <si>
    <t>F. Terracciano</t>
  </si>
  <si>
    <t>K. Thorstvedt</t>
  </si>
  <si>
    <t>M. Tramoni</t>
  </si>
  <si>
    <t>N. Zalewski</t>
  </si>
  <si>
    <t>L. da Cunha</t>
  </si>
  <si>
    <t>M. Adopo</t>
  </si>
  <si>
    <t>V. Adzic</t>
  </si>
  <si>
    <t>M. Aebischer</t>
  </si>
  <si>
    <t>M. Akanji</t>
  </si>
  <si>
    <t>Z. Athekame</t>
  </si>
  <si>
    <t>T. Baldanzi</t>
  </si>
  <si>
    <t>N. Barella</t>
  </si>
  <si>
    <t>T. Basic</t>
  </si>
  <si>
    <t>A. Bastoni</t>
  </si>
  <si>
    <t>A. Benedyczak</t>
  </si>
  <si>
    <t>F. Bernardeschi</t>
  </si>
  <si>
    <t>A. Bernede</t>
  </si>
  <si>
    <t>S. Beukema</t>
  </si>
  <si>
    <t>I. Bravo</t>
  </si>
  <si>
    <t>A. Buksa</t>
  </si>
  <si>
    <t>F. Camarda</t>
  </si>
  <si>
    <t>M. Caqueret</t>
  </si>
  <si>
    <t>W. Cheddira</t>
  </si>
  <si>
    <t>A. Circati</t>
  </si>
  <si>
    <t>S. Coco</t>
  </si>
  <si>
    <t>T. Gabriel</t>
  </si>
  <si>
    <t>P. Comuzzo</t>
  </si>
  <si>
    <t>B. Cristante</t>
  </si>
  <si>
    <t>J. Cuadrado</t>
  </si>
  <si>
    <t>P. Cutrone</t>
  </si>
  <si>
    <t>T. Dallinga</t>
  </si>
  <si>
    <t>M. De Luca</t>
  </si>
  <si>
    <t>K. De Winter</t>
  </si>
  <si>
    <t>E. Delprato</t>
  </si>
  <si>
    <t>G. Di Lorenzo</t>
  </si>
  <si>
    <t>B. Dia</t>
  </si>
  <si>
    <t>D. Dumfries</t>
  </si>
  <si>
    <t>R. Durosinmi</t>
  </si>
  <si>
    <t>M. Ellertsson</t>
  </si>
  <si>
    <t>N. Fagioli</t>
  </si>
  <si>
    <t>L. Ferguson</t>
  </si>
  <si>
    <t>Y. Fofana</t>
  </si>
  <si>
    <t>F. Folino</t>
  </si>
  <si>
    <t>M. Folorunsho</t>
  </si>
  <si>
    <t>M. Frendrup</t>
  </si>
  <si>
    <t>M. Frese</t>
  </si>
  <si>
    <t>N. Füllkrug</t>
  </si>
  <si>
    <t>R. Gagliardini</t>
  </si>
  <si>
    <t>F. Gatti</t>
  </si>
  <si>
    <t>B. Gilmour</t>
  </si>
  <si>
    <t>M. Gutiérrez</t>
  </si>
  <si>
    <t>A. Harroui</t>
  </si>
  <si>
    <t>M. Hermoso</t>
  </si>
  <si>
    <t>I. Hien</t>
  </si>
  <si>
    <t>E. Holm</t>
  </si>
  <si>
    <t>E. Iannoni</t>
  </si>
  <si>
    <t>D. Johnsen</t>
  </si>
  <si>
    <t>J. Karlström</t>
  </si>
  <si>
    <t>L. Kelly</t>
  </si>
  <si>
    <t>O. Kossounou</t>
  </si>
  <si>
    <t>T. Kristensen</t>
  </si>
  <si>
    <t>N. Kühn</t>
  </si>
  <si>
    <t>N. Lang</t>
  </si>
  <si>
    <t>S. Lobotka</t>
  </si>
  <si>
    <t>M. Locatelli</t>
  </si>
  <si>
    <t>F. Loyola</t>
  </si>
  <si>
    <t>L. Lucca</t>
  </si>
  <si>
    <t>J. Lucumí</t>
  </si>
  <si>
    <t>S. Luperto</t>
  </si>
  <si>
    <t>M. Léris</t>
  </si>
  <si>
    <t>A. Martín</t>
  </si>
  <si>
    <t>N. Matic</t>
  </si>
  <si>
    <t>J. Messias</t>
  </si>
  <si>
    <t>Y. Mina</t>
  </si>
  <si>
    <t>J. Miranda</t>
  </si>
  <si>
    <t>F. Miretti</t>
  </si>
  <si>
    <t>H. Mkhitaryan</t>
  </si>
  <si>
    <t>A. Moreno</t>
  </si>
  <si>
    <t>C. Ndour</t>
  </si>
  <si>
    <t>C. Ngonge</t>
  </si>
  <si>
    <t>A. Njie</t>
  </si>
  <si>
    <t>B. Norton-Cuffy</t>
  </si>
  <si>
    <t>L. Openda</t>
  </si>
  <si>
    <t>C. Ordóñez</t>
  </si>
  <si>
    <t>M. Palestra</t>
  </si>
  <si>
    <t>M. Payero</t>
  </si>
  <si>
    <t>Lorran</t>
  </si>
  <si>
    <t>J. Piotrowski</t>
  </si>
  <si>
    <t>S. Posch</t>
  </si>
  <si>
    <t>M. Prati</t>
  </si>
  <si>
    <t>Y. Ramadani</t>
  </si>
  <si>
    <t>L. Ranieri</t>
  </si>
  <si>
    <t>G. Raspadori</t>
  </si>
  <si>
    <t>S. Ricci</t>
  </si>
  <si>
    <t>A. Rrahmani</t>
  </si>
  <si>
    <t>L. Samardzic</t>
  </si>
  <si>
    <t>A. Sanabria</t>
  </si>
  <si>
    <t>R. Sottil</t>
  </si>
  <si>
    <t>P. Sucic</t>
  </si>
  <si>
    <t>I. Sulemana</t>
  </si>
  <si>
    <t>O. Sørensen</t>
  </si>
  <si>
    <t>K. Taylor</t>
  </si>
  <si>
    <t>K. Thuram</t>
  </si>
  <si>
    <t>I. Touré</t>
  </si>
  <si>
    <t>Y. Trepy</t>
  </si>
  <si>
    <t>A. Vergara</t>
  </si>
  <si>
    <t>M. Vojvoda</t>
  </si>
  <si>
    <t>C. Volpato</t>
  </si>
  <si>
    <t>F. Vázquez</t>
  </si>
  <si>
    <t>A. Zanoli</t>
  </si>
  <si>
    <t>D. Zapata</t>
  </si>
  <si>
    <t>D. Zappacosta</t>
  </si>
  <si>
    <t>C. Augusto</t>
  </si>
  <si>
    <t>A. Santos</t>
  </si>
  <si>
    <t>L. Henrique</t>
  </si>
  <si>
    <t>M. de Roon</t>
  </si>
  <si>
    <t>Éderson</t>
  </si>
  <si>
    <t>Z. Çelik</t>
  </si>
  <si>
    <t>Mean</t>
  </si>
  <si>
    <t>Mode</t>
  </si>
  <si>
    <t>Median</t>
  </si>
  <si>
    <t>Mid Range</t>
  </si>
  <si>
    <t>Standard Deviation</t>
  </si>
  <si>
    <t>MAD</t>
  </si>
  <si>
    <t>IQR</t>
  </si>
  <si>
    <t>Range</t>
  </si>
  <si>
    <t>Task 2 (goal distribution):</t>
  </si>
  <si>
    <t>Etichette di riga</t>
  </si>
  <si>
    <t>Totale complessivo</t>
  </si>
  <si>
    <t>Conteggio di Player</t>
  </si>
  <si>
    <t>Task 3 with CountIF formula:</t>
  </si>
  <si>
    <t>Task 3 (frequency of goals) with pivot:</t>
  </si>
  <si>
    <t>N° of Goals:</t>
  </si>
  <si>
    <t>Frequency:</t>
  </si>
  <si>
    <t>Task 4(Pivot):</t>
  </si>
  <si>
    <t>Task4 (formula):</t>
  </si>
  <si>
    <t>Squadra:</t>
  </si>
  <si>
    <t>N° of Scorers:</t>
  </si>
  <si>
    <t>Task 5:</t>
  </si>
  <si>
    <t>13-15</t>
  </si>
  <si>
    <t>Goal range</t>
  </si>
  <si>
    <t>Frequency</t>
  </si>
  <si>
    <t>1-3</t>
  </si>
  <si>
    <t>3-5</t>
  </si>
  <si>
    <t>5-7</t>
  </si>
  <si>
    <t>7-9</t>
  </si>
  <si>
    <t>9-11</t>
  </si>
  <si>
    <t>11-13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</si>
</sst>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</cellXfs>
  <cellStyles count="1">
    <cellStyle name="Normale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6392031699921027E-2"/>
          <c:y val="4.3892909695602639E-2"/>
          <c:w val="0.84025431287108532"/>
          <c:h val="0.647286070787724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Scorers2026!$I$51:$I$57</c:f>
              <c:strCache>
                <c:ptCount val="7"/>
                <c:pt idx="0">
                  <c:v>1-3</c:v>
                </c:pt>
                <c:pt idx="1">
                  <c:v>3-5</c:v>
                </c:pt>
                <c:pt idx="2">
                  <c:v>5-7</c:v>
                </c:pt>
                <c:pt idx="3">
                  <c:v>7-9</c:v>
                </c:pt>
                <c:pt idx="4">
                  <c:v>9-11</c:v>
                </c:pt>
                <c:pt idx="5">
                  <c:v>11-13</c:v>
                </c:pt>
                <c:pt idx="6">
                  <c:v>13-15</c:v>
                </c:pt>
              </c:strCache>
            </c:strRef>
          </c:cat>
          <c:val>
            <c:numRef>
              <c:f>Scorers2026!$J$51:$J$57</c:f>
              <c:numCache>
                <c:formatCode>General</c:formatCode>
                <c:ptCount val="7"/>
                <c:pt idx="0">
                  <c:v>166</c:v>
                </c:pt>
                <c:pt idx="1">
                  <c:v>43</c:v>
                </c:pt>
                <c:pt idx="2">
                  <c:v>20</c:v>
                </c:pt>
                <c:pt idx="3">
                  <c:v>15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C-4CC3-ACDC-A0CA27D66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0093359"/>
        <c:axId val="760096239"/>
      </c:barChart>
      <c:catAx>
        <c:axId val="76009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0096239"/>
        <c:crosses val="autoZero"/>
        <c:auto val="1"/>
        <c:lblAlgn val="ctr"/>
        <c:lblOffset val="100"/>
        <c:noMultiLvlLbl val="0"/>
      </c:catAx>
      <c:valAx>
        <c:axId val="76009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6009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57</xdr:row>
      <xdr:rowOff>87630</xdr:rowOff>
    </xdr:from>
    <xdr:to>
      <xdr:col>11</xdr:col>
      <xdr:colOff>99060</xdr:colOff>
      <xdr:row>69</xdr:row>
      <xdr:rowOff>68580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9789987-1559-26E6-30E3-AAA01197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 Camastra" refreshedDate="46091.443774189815" createdVersion="8" refreshedVersion="8" minRefreshableVersion="3" recordCount="245" xr:uid="{243C718E-A9EF-4AB3-825E-63EF05011B75}">
  <cacheSource type="worksheet">
    <worksheetSource name="Scorers2026"/>
  </cacheSource>
  <cacheFields count="6">
    <cacheField name="Rank" numFmtId="0">
      <sharedItems containsSemiMixedTypes="0" containsString="0" containsNumber="1" containsInteger="1" minValue="1" maxValue="133"/>
    </cacheField>
    <cacheField name="Player" numFmtId="0">
      <sharedItems/>
    </cacheField>
    <cacheField name="Team" numFmtId="0">
      <sharedItems count="20">
        <s v="Inter"/>
        <s v="Como"/>
        <s v="Napoli"/>
        <s v="Milan"/>
        <s v="Juventus"/>
        <s v="Bologna"/>
        <s v="Udinese"/>
        <s v="Fiorentina"/>
        <s v="Atalanta"/>
        <s v="Hellas Verona"/>
        <s v="Parma"/>
        <s v="Genoa"/>
        <s v="Roma"/>
        <s v="Torino"/>
        <s v="Sassuolo"/>
        <s v="Cremonese"/>
        <s v="Pisa"/>
        <s v="Cagliari"/>
        <s v="Lecce"/>
        <s v="Lazio"/>
      </sharedItems>
    </cacheField>
    <cacheField name="Position" numFmtId="0">
      <sharedItems/>
    </cacheField>
    <cacheField name="Goals" numFmtId="0">
      <sharedItems containsSemiMixedTypes="0" containsString="0" containsNumber="1" containsInteger="1" minValue="1" maxValue="14" count="9">
        <n v="14"/>
        <n v="8"/>
        <n v="7"/>
        <n v="6"/>
        <n v="5"/>
        <n v="4"/>
        <n v="3"/>
        <n v="2"/>
        <n v="1"/>
      </sharedItems>
    </cacheField>
    <cacheField name="Penalties" numFmtId="0">
      <sharedItems containsSemiMixedTypes="0" containsString="0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n v="1"/>
    <s v="L. Martínez"/>
    <x v="0"/>
    <s v="Attaccante"/>
    <x v="0"/>
    <n v="0"/>
  </r>
  <r>
    <n v="2"/>
    <s v="T. Douvikas"/>
    <x v="1"/>
    <s v="Attaccante"/>
    <x v="1"/>
    <n v="1"/>
  </r>
  <r>
    <n v="2"/>
    <s v="R. Højlund"/>
    <x v="2"/>
    <s v="Attaccante"/>
    <x v="1"/>
    <n v="1"/>
  </r>
  <r>
    <n v="2"/>
    <s v="N. Paz"/>
    <x v="1"/>
    <s v="Centrocampista"/>
    <x v="1"/>
    <n v="0"/>
  </r>
  <r>
    <n v="2"/>
    <s v="C. Pulisic"/>
    <x v="3"/>
    <s v="Centrocampista"/>
    <x v="1"/>
    <n v="0"/>
  </r>
  <r>
    <n v="2"/>
    <s v="K. Yildiz"/>
    <x v="4"/>
    <s v="Attaccante"/>
    <x v="1"/>
    <n v="1"/>
  </r>
  <r>
    <n v="7"/>
    <s v="S. Castro"/>
    <x v="5"/>
    <s v="Attaccante"/>
    <x v="2"/>
    <n v="0"/>
  </r>
  <r>
    <n v="7"/>
    <s v="K. Davis"/>
    <x v="6"/>
    <s v="Attaccante"/>
    <x v="2"/>
    <n v="3"/>
  </r>
  <r>
    <n v="7"/>
    <s v="M. Kean"/>
    <x v="7"/>
    <s v="Attaccante"/>
    <x v="2"/>
    <n v="2"/>
  </r>
  <r>
    <n v="7"/>
    <s v="N. Krstovic"/>
    <x v="8"/>
    <s v="Attaccante"/>
    <x v="2"/>
    <n v="0"/>
  </r>
  <r>
    <n v="7"/>
    <s v="G. Orban"/>
    <x v="9"/>
    <s v="Attaccante"/>
    <x v="2"/>
    <n v="2"/>
  </r>
  <r>
    <n v="7"/>
    <s v="R. Orsolini"/>
    <x v="5"/>
    <s v="Attaccante"/>
    <x v="2"/>
    <n v="3"/>
  </r>
  <r>
    <n v="7"/>
    <s v="M. Pellegrino"/>
    <x v="10"/>
    <s v="Attaccante"/>
    <x v="2"/>
    <n v="1"/>
  </r>
  <r>
    <n v="7"/>
    <s v="M. Thuram"/>
    <x v="0"/>
    <s v="Attaccante"/>
    <x v="2"/>
    <n v="0"/>
  </r>
  <r>
    <n v="7"/>
    <s v="R. Leão"/>
    <x v="3"/>
    <s v="Attaccante"/>
    <x v="2"/>
    <n v="2"/>
  </r>
  <r>
    <n v="7"/>
    <s v="H. Çalhanoglu"/>
    <x v="0"/>
    <s v="Centrocampista"/>
    <x v="2"/>
    <n v="3"/>
  </r>
  <r>
    <n v="17"/>
    <s v="L. Colombo"/>
    <x v="11"/>
    <s v="Attaccante"/>
    <x v="3"/>
    <n v="0"/>
  </r>
  <r>
    <n v="17"/>
    <s v="R. Mandragora"/>
    <x v="7"/>
    <s v="Centrocampista"/>
    <x v="3"/>
    <n v="1"/>
  </r>
  <r>
    <n v="17"/>
    <s v="S. McTominay"/>
    <x v="2"/>
    <s v="Centrocampista"/>
    <x v="3"/>
    <n v="0"/>
  </r>
  <r>
    <n v="17"/>
    <s v="G. Scamacca"/>
    <x v="8"/>
    <s v="Attaccante"/>
    <x v="3"/>
    <n v="2"/>
  </r>
  <r>
    <n v="17"/>
    <s v="M. Soulé"/>
    <x v="12"/>
    <s v="Attaccante"/>
    <x v="3"/>
    <n v="0"/>
  </r>
  <r>
    <n v="17"/>
    <s v="N. Vlasic"/>
    <x v="13"/>
    <s v="Centrocampista"/>
    <x v="3"/>
    <n v="3"/>
  </r>
  <r>
    <n v="23"/>
    <s v="D. Berardi"/>
    <x v="14"/>
    <s v="Attaccante"/>
    <x v="4"/>
    <n v="2"/>
  </r>
  <r>
    <n v="23"/>
    <s v="F. Bonazzoli"/>
    <x v="15"/>
    <s v="Attaccante"/>
    <x v="4"/>
    <n v="1"/>
  </r>
  <r>
    <n v="23"/>
    <s v="A. Bonny"/>
    <x v="0"/>
    <s v="Attaccante"/>
    <x v="4"/>
    <n v="0"/>
  </r>
  <r>
    <n v="23"/>
    <s v="J. David"/>
    <x v="4"/>
    <s v="Attaccante"/>
    <x v="4"/>
    <n v="0"/>
  </r>
  <r>
    <n v="23"/>
    <s v="F. Dimarco"/>
    <x v="0"/>
    <s v="Difensore"/>
    <x v="4"/>
    <n v="0"/>
  </r>
  <r>
    <n v="23"/>
    <s v="D. Malen"/>
    <x v="12"/>
    <s v="Attaccante"/>
    <x v="4"/>
    <n v="1"/>
  </r>
  <r>
    <n v="23"/>
    <s v="R. Malinovskyi"/>
    <x v="11"/>
    <s v="Centrocampista"/>
    <x v="4"/>
    <n v="3"/>
  </r>
  <r>
    <n v="23"/>
    <s v="S. Moreo"/>
    <x v="16"/>
    <s v="Attaccante"/>
    <x v="4"/>
    <n v="1"/>
  </r>
  <r>
    <n v="23"/>
    <s v="C. Nkunku"/>
    <x v="3"/>
    <s v="Attaccante"/>
    <x v="4"/>
    <n v="3"/>
  </r>
  <r>
    <n v="23"/>
    <s v="A. Pinamonti"/>
    <x v="14"/>
    <s v="Attaccante"/>
    <x v="4"/>
    <n v="0"/>
  </r>
  <r>
    <n v="23"/>
    <s v="G. Simeone"/>
    <x v="13"/>
    <s v="Attaccante"/>
    <x v="4"/>
    <n v="0"/>
  </r>
  <r>
    <n v="23"/>
    <s v="J. Vardy"/>
    <x v="15"/>
    <s v="Attaccante"/>
    <x v="4"/>
    <n v="0"/>
  </r>
  <r>
    <n v="23"/>
    <s v="N. Zaniolo"/>
    <x v="6"/>
    <s v="Centrocampista"/>
    <x v="4"/>
    <n v="0"/>
  </r>
  <r>
    <n v="23"/>
    <s v="P. Zielinski"/>
    <x v="0"/>
    <s v="Centrocampista"/>
    <x v="4"/>
    <n v="1"/>
  </r>
  <r>
    <n v="37"/>
    <s v="C. Adams"/>
    <x v="13"/>
    <s v="Attaccante"/>
    <x v="5"/>
    <n v="0"/>
  </r>
  <r>
    <n v="37"/>
    <s v="F. Anguissa"/>
    <x v="2"/>
    <s v="Centrocampista"/>
    <x v="5"/>
    <n v="0"/>
  </r>
  <r>
    <n v="37"/>
    <s v="M. Baturina"/>
    <x v="1"/>
    <s v="Centrocampista"/>
    <x v="5"/>
    <n v="0"/>
  </r>
  <r>
    <n v="37"/>
    <s v="K. De Bruyne"/>
    <x v="2"/>
    <s v="Centrocampista"/>
    <x v="5"/>
    <n v="3"/>
  </r>
  <r>
    <n v="37"/>
    <s v="F. Pio Esposito"/>
    <x v="0"/>
    <s v="Attaccante"/>
    <x v="5"/>
    <n v="0"/>
  </r>
  <r>
    <n v="37"/>
    <s v="A. Gudmundsson"/>
    <x v="7"/>
    <s v="Attaccante"/>
    <x v="5"/>
    <n v="3"/>
  </r>
  <r>
    <n v="37"/>
    <s v="S. Kiliçsoy"/>
    <x v="17"/>
    <s v="Attaccante"/>
    <x v="5"/>
    <n v="0"/>
  </r>
  <r>
    <n v="37"/>
    <s v="I. Koné"/>
    <x v="14"/>
    <s v="Centrocampista"/>
    <x v="5"/>
    <n v="0"/>
  </r>
  <r>
    <n v="37"/>
    <s v="A. Laurienté"/>
    <x v="14"/>
    <s v="Attaccante"/>
    <x v="5"/>
    <n v="0"/>
  </r>
  <r>
    <n v="37"/>
    <s v="W. McKennie"/>
    <x v="4"/>
    <s v="Centrocampista"/>
    <x v="5"/>
    <n v="0"/>
  </r>
  <r>
    <n v="37"/>
    <s v="J. Odgaard"/>
    <x v="5"/>
    <s v="Attaccante"/>
    <x v="5"/>
    <n v="0"/>
  </r>
  <r>
    <n v="37"/>
    <s v="A. Rabiot"/>
    <x v="3"/>
    <s v="Centrocampista"/>
    <x v="5"/>
    <n v="0"/>
  </r>
  <r>
    <n v="37"/>
    <s v="L. Østigård"/>
    <x v="11"/>
    <s v="Difensore"/>
    <x v="5"/>
    <n v="0"/>
  </r>
  <r>
    <n v="50"/>
    <s v="J. Addai"/>
    <x v="1"/>
    <s v="Attaccante"/>
    <x v="6"/>
    <n v="0"/>
  </r>
  <r>
    <n v="50"/>
    <s v="L. Banda"/>
    <x v="18"/>
    <s v="Centrocampista"/>
    <x v="6"/>
    <n v="0"/>
  </r>
  <r>
    <n v="50"/>
    <s v="A. Bernabé"/>
    <x v="10"/>
    <s v="Centrocampista"/>
    <x v="6"/>
    <n v="0"/>
  </r>
  <r>
    <n v="50"/>
    <s v="G. Borrelli"/>
    <x v="17"/>
    <s v="Attaccante"/>
    <x v="6"/>
    <n v="0"/>
  </r>
  <r>
    <n v="50"/>
    <s v="N. Cambiaghi"/>
    <x v="5"/>
    <s v="Attaccante"/>
    <x v="6"/>
    <n v="0"/>
  </r>
  <r>
    <n v="50"/>
    <s v="M. Cancellieri"/>
    <x v="19"/>
    <s v="Attaccante"/>
    <x v="6"/>
    <n v="0"/>
  </r>
  <r>
    <n v="50"/>
    <s v="Vítinha"/>
    <x v="11"/>
    <s v="Attaccante"/>
    <x v="6"/>
    <n v="0"/>
  </r>
  <r>
    <n v="50"/>
    <s v="C. Casadei"/>
    <x v="13"/>
    <s v="Centrocampista"/>
    <x v="6"/>
    <n v="0"/>
  </r>
  <r>
    <n v="50"/>
    <s v="D. Cataldi"/>
    <x v="19"/>
    <s v="Centrocampista"/>
    <x v="6"/>
    <n v="2"/>
  </r>
  <r>
    <n v="50"/>
    <s v="C. De Ketelaere"/>
    <x v="8"/>
    <s v="Attaccante"/>
    <x v="6"/>
    <n v="0"/>
  </r>
  <r>
    <n v="50"/>
    <s v="A. Dovbyk"/>
    <x v="12"/>
    <s v="Attaccante"/>
    <x v="6"/>
    <n v="0"/>
  </r>
  <r>
    <n v="50"/>
    <s v="J. Ekkelenkamp"/>
    <x v="6"/>
    <s v="Centrocampista"/>
    <x v="6"/>
    <n v="0"/>
  </r>
  <r>
    <n v="50"/>
    <s v="S. Esposito"/>
    <x v="17"/>
    <s v="Attaccante"/>
    <x v="6"/>
    <n v="0"/>
  </r>
  <r>
    <n v="50"/>
    <s v="E. Ferguson"/>
    <x v="12"/>
    <s v="Attaccante"/>
    <x v="6"/>
    <n v="0"/>
  </r>
  <r>
    <n v="50"/>
    <s v="Wesley"/>
    <x v="12"/>
    <s v="Difensore"/>
    <x v="6"/>
    <n v="0"/>
  </r>
  <r>
    <n v="50"/>
    <s v="G. Isaksen"/>
    <x v="19"/>
    <s v="Attaccante"/>
    <x v="6"/>
    <n v="0"/>
  </r>
  <r>
    <n v="50"/>
    <s v="M. Oliver Kempf"/>
    <x v="1"/>
    <s v="Difensore"/>
    <x v="6"/>
    <n v="0"/>
  </r>
  <r>
    <n v="50"/>
    <s v="F. Kostic"/>
    <x v="4"/>
    <s v="Centrocampista"/>
    <x v="6"/>
    <n v="0"/>
  </r>
  <r>
    <n v="50"/>
    <s v="R. Loftus-Cheek"/>
    <x v="3"/>
    <s v="Centrocampista"/>
    <x v="6"/>
    <n v="0"/>
  </r>
  <r>
    <n v="50"/>
    <s v="D. Neres"/>
    <x v="2"/>
    <s v="Attaccante"/>
    <x v="6"/>
    <n v="0"/>
  </r>
  <r>
    <n v="50"/>
    <s v="M. Nzola"/>
    <x v="14"/>
    <s v="Attaccante"/>
    <x v="6"/>
    <n v="2"/>
  </r>
  <r>
    <n v="50"/>
    <s v="L. Pellegrini"/>
    <x v="12"/>
    <s v="Centrocampista"/>
    <x v="6"/>
    <n v="2"/>
  </r>
  <r>
    <n v="50"/>
    <s v="Pedro"/>
    <x v="19"/>
    <s v="Attaccante"/>
    <x v="6"/>
    <n v="2"/>
  </r>
  <r>
    <n v="50"/>
    <s v="Giovane"/>
    <x v="2"/>
    <s v="Attaccante"/>
    <x v="6"/>
    <n v="0"/>
  </r>
  <r>
    <n v="50"/>
    <s v="Bremer"/>
    <x v="4"/>
    <s v="Difensore"/>
    <x v="6"/>
    <n v="0"/>
  </r>
  <r>
    <n v="50"/>
    <s v="O. Solet"/>
    <x v="6"/>
    <s v="Difensore"/>
    <x v="6"/>
    <n v="1"/>
  </r>
  <r>
    <n v="50"/>
    <s v="L. Spinazzola"/>
    <x v="2"/>
    <s v="Difensore"/>
    <x v="6"/>
    <n v="0"/>
  </r>
  <r>
    <n v="50"/>
    <s v="M. Thorsby"/>
    <x v="15"/>
    <s v="Centrocampista"/>
    <x v="6"/>
    <n v="0"/>
  </r>
  <r>
    <n v="50"/>
    <s v="D. Vlahovic"/>
    <x v="4"/>
    <s v="Attaccante"/>
    <x v="6"/>
    <n v="1"/>
  </r>
  <r>
    <n v="50"/>
    <s v="M. Zaccagni"/>
    <x v="19"/>
    <s v="Centrocampista"/>
    <x v="6"/>
    <n v="0"/>
  </r>
  <r>
    <n v="80"/>
    <s v="A. Atta"/>
    <x v="6"/>
    <s v="Centrocampista"/>
    <x v="7"/>
    <n v="0"/>
  </r>
  <r>
    <n v="80"/>
    <s v="D. Bartesaghi"/>
    <x v="3"/>
    <s v="Difensore"/>
    <x v="7"/>
    <n v="0"/>
  </r>
  <r>
    <n v="80"/>
    <s v="F. Baschirotto"/>
    <x v="15"/>
    <s v="Difensore"/>
    <x v="7"/>
    <n v="0"/>
  </r>
  <r>
    <n v="80"/>
    <s v="R. Belghali"/>
    <x v="9"/>
    <s v="Difensore"/>
    <x v="7"/>
    <n v="0"/>
  </r>
  <r>
    <n v="80"/>
    <s v="A. Belotti"/>
    <x v="17"/>
    <s v="Attaccante"/>
    <x v="7"/>
    <n v="1"/>
  </r>
  <r>
    <n v="80"/>
    <s v="M. Berisha"/>
    <x v="18"/>
    <s v="Centrocampista"/>
    <x v="7"/>
    <n v="0"/>
  </r>
  <r>
    <n v="80"/>
    <s v="Y. Bisseck"/>
    <x v="0"/>
    <s v="Difensore"/>
    <x v="7"/>
    <n v="0"/>
  </r>
  <r>
    <n v="80"/>
    <s v="M. Brescianini"/>
    <x v="7"/>
    <s v="Centrocampista"/>
    <x v="7"/>
    <n v="0"/>
  </r>
  <r>
    <n v="80"/>
    <s v="J. Cabal"/>
    <x v="4"/>
    <s v="Difensore"/>
    <x v="7"/>
    <n v="0"/>
  </r>
  <r>
    <n v="80"/>
    <s v="A. Cambiaso"/>
    <x v="4"/>
    <s v="Difensore"/>
    <x v="7"/>
    <n v="0"/>
  </r>
  <r>
    <n v="80"/>
    <s v="V. Castellanos"/>
    <x v="19"/>
    <s v="Attaccante"/>
    <x v="7"/>
    <n v="0"/>
  </r>
  <r>
    <n v="80"/>
    <s v="L. Coulibaly"/>
    <x v="18"/>
    <s v="Centrocampista"/>
    <x v="7"/>
    <n v="0"/>
  </r>
  <r>
    <n v="80"/>
    <s v="P. Dybala"/>
    <x v="12"/>
    <s v="Attaccante"/>
    <x v="7"/>
    <n v="0"/>
  </r>
  <r>
    <n v="80"/>
    <s v="J. Ekhator"/>
    <x v="11"/>
    <s v="Attaccante"/>
    <x v="7"/>
    <n v="0"/>
  </r>
  <r>
    <n v="80"/>
    <s v="C. Ekuban"/>
    <x v="11"/>
    <s v="Attaccante"/>
    <x v="7"/>
    <n v="0"/>
  </r>
  <r>
    <n v="80"/>
    <s v="G. Fabbian"/>
    <x v="7"/>
    <s v="Centrocampista"/>
    <x v="7"/>
    <n v="0"/>
  </r>
  <r>
    <n v="80"/>
    <s v="A. Fadera"/>
    <x v="14"/>
    <s v="Attaccante"/>
    <x v="7"/>
    <n v="0"/>
  </r>
  <r>
    <n v="80"/>
    <s v="M. Felici"/>
    <x v="17"/>
    <s v="Attaccante"/>
    <x v="7"/>
    <n v="0"/>
  </r>
  <r>
    <n v="80"/>
    <s v="F. Conceição"/>
    <x v="4"/>
    <s v="Attaccante"/>
    <x v="7"/>
    <n v="0"/>
  </r>
  <r>
    <n v="80"/>
    <s v="G. Gaetano"/>
    <x v="17"/>
    <s v="Centrocampista"/>
    <x v="7"/>
    <n v="0"/>
  </r>
  <r>
    <n v="80"/>
    <s v="O. Gandelman"/>
    <x v="18"/>
    <s v="Centrocampista"/>
    <x v="7"/>
    <n v="0"/>
  </r>
  <r>
    <n v="80"/>
    <s v="R. Gosens"/>
    <x v="7"/>
    <s v="Difensore"/>
    <x v="7"/>
    <n v="0"/>
  </r>
  <r>
    <n v="80"/>
    <s v="M. Guendouzi"/>
    <x v="19"/>
    <s v="Centrocampista"/>
    <x v="7"/>
    <n v="0"/>
  </r>
  <r>
    <n v="80"/>
    <s v="R. Idrissi"/>
    <x v="17"/>
    <s v="Difensore"/>
    <x v="7"/>
    <n v="0"/>
  </r>
  <r>
    <n v="80"/>
    <s v="C. Kabasele"/>
    <x v="6"/>
    <s v="Difensore"/>
    <x v="7"/>
    <n v="0"/>
  </r>
  <r>
    <n v="80"/>
    <s v="P. Kalulu"/>
    <x v="4"/>
    <s v="Difensore"/>
    <x v="7"/>
    <n v="0"/>
  </r>
  <r>
    <n v="80"/>
    <s v="M. Koné"/>
    <x v="12"/>
    <s v="Centrocampista"/>
    <x v="7"/>
    <n v="0"/>
  </r>
  <r>
    <n v="80"/>
    <s v="A. Lookman"/>
    <x v="8"/>
    <s v="Attaccante"/>
    <x v="7"/>
    <n v="0"/>
  </r>
  <r>
    <n v="80"/>
    <s v="G. Maripán"/>
    <x v="13"/>
    <s v="Difensore"/>
    <x v="7"/>
    <n v="0"/>
  </r>
  <r>
    <n v="80"/>
    <s v="L. Mazzitelli"/>
    <x v="17"/>
    <s v="Centrocampista"/>
    <x v="7"/>
    <n v="0"/>
  </r>
  <r>
    <n v="80"/>
    <s v="H. Meister"/>
    <x v="16"/>
    <s v="Attaccante"/>
    <x v="7"/>
    <n v="0"/>
  </r>
  <r>
    <n v="80"/>
    <s v="L. Modric"/>
    <x v="3"/>
    <s v="Centrocampista"/>
    <x v="7"/>
    <n v="0"/>
  </r>
  <r>
    <n v="80"/>
    <s v="N. Moro"/>
    <x v="5"/>
    <s v="Centrocampista"/>
    <x v="7"/>
    <n v="0"/>
  </r>
  <r>
    <n v="80"/>
    <s v="T. Muharemovic"/>
    <x v="14"/>
    <s v="Difensore"/>
    <x v="7"/>
    <n v="0"/>
  </r>
  <r>
    <n v="80"/>
    <s v="T. Noslin"/>
    <x v="19"/>
    <s v="Attaccante"/>
    <x v="7"/>
    <n v="0"/>
  </r>
  <r>
    <n v="80"/>
    <s v="K. Nâ€™Dri"/>
    <x v="18"/>
    <s v="Attaccante"/>
    <x v="7"/>
    <n v="0"/>
  </r>
  <r>
    <n v="80"/>
    <s v="M. Pasalic"/>
    <x v="8"/>
    <s v="Centrocampista"/>
    <x v="7"/>
    <n v="0"/>
  </r>
  <r>
    <n v="80"/>
    <s v="S. Pavlovic"/>
    <x v="3"/>
    <s v="Difensore"/>
    <x v="7"/>
    <n v="0"/>
  </r>
  <r>
    <n v="80"/>
    <s v="M. Perrone"/>
    <x v="1"/>
    <s v="Centrocampista"/>
    <x v="7"/>
    <n v="0"/>
  </r>
  <r>
    <n v="80"/>
    <s v="R. Piccoli"/>
    <x v="7"/>
    <s v="Attaccante"/>
    <x v="7"/>
    <n v="0"/>
  </r>
  <r>
    <n v="80"/>
    <s v="T. Pobega"/>
    <x v="5"/>
    <s v="Centrocampista"/>
    <x v="7"/>
    <n v="0"/>
  </r>
  <r>
    <n v="80"/>
    <s v="J. Ramón"/>
    <x v="1"/>
    <s v="Difensore"/>
    <x v="7"/>
    <n v="0"/>
  </r>
  <r>
    <n v="80"/>
    <s v="A. Saelemaekers"/>
    <x v="3"/>
    <s v="Attaccante"/>
    <x v="7"/>
    <n v="0"/>
  </r>
  <r>
    <n v="80"/>
    <s v="G. Scalvini"/>
    <x v="8"/>
    <s v="Difensore"/>
    <x v="7"/>
    <n v="0"/>
  </r>
  <r>
    <n v="80"/>
    <s v="S. Serdar"/>
    <x v="9"/>
    <s v="Centrocampista"/>
    <x v="7"/>
    <n v="0"/>
  </r>
  <r>
    <n v="80"/>
    <s v="M. Solomon"/>
    <x v="7"/>
    <s v="Attaccante"/>
    <x v="7"/>
    <n v="0"/>
  </r>
  <r>
    <n v="80"/>
    <s v="N. Stulic"/>
    <x v="18"/>
    <s v="Attaccante"/>
    <x v="7"/>
    <n v="0"/>
  </r>
  <r>
    <n v="80"/>
    <s v="K. Sulemana"/>
    <x v="8"/>
    <s v="Attaccante"/>
    <x v="7"/>
    <n v="0"/>
  </r>
  <r>
    <n v="80"/>
    <s v="F. Terracciano"/>
    <x v="15"/>
    <s v="Difensore"/>
    <x v="7"/>
    <n v="0"/>
  </r>
  <r>
    <n v="80"/>
    <s v="K. Thorstvedt"/>
    <x v="14"/>
    <s v="Centrocampista"/>
    <x v="7"/>
    <n v="0"/>
  </r>
  <r>
    <n v="80"/>
    <s v="M. Tramoni"/>
    <x v="16"/>
    <s v="Attaccante"/>
    <x v="7"/>
    <n v="1"/>
  </r>
  <r>
    <n v="80"/>
    <s v="N. Zalewski"/>
    <x v="8"/>
    <s v="Centrocampista"/>
    <x v="7"/>
    <n v="0"/>
  </r>
  <r>
    <n v="80"/>
    <s v="L. da Cunha"/>
    <x v="1"/>
    <s v="Centrocampista"/>
    <x v="7"/>
    <n v="2"/>
  </r>
  <r>
    <n v="133"/>
    <s v="M. Adopo"/>
    <x v="17"/>
    <s v="Centrocampista"/>
    <x v="8"/>
    <n v="0"/>
  </r>
  <r>
    <n v="133"/>
    <s v="V. Adzic"/>
    <x v="4"/>
    <s v="Centrocampista"/>
    <x v="8"/>
    <n v="0"/>
  </r>
  <r>
    <n v="133"/>
    <s v="M. Aebischer"/>
    <x v="16"/>
    <s v="Centrocampista"/>
    <x v="8"/>
    <n v="0"/>
  </r>
  <r>
    <n v="133"/>
    <s v="M. Akanji"/>
    <x v="0"/>
    <s v="Difensore"/>
    <x v="8"/>
    <n v="0"/>
  </r>
  <r>
    <n v="133"/>
    <s v="Z. Athekame"/>
    <x v="3"/>
    <s v="Difensore"/>
    <x v="8"/>
    <n v="0"/>
  </r>
  <r>
    <n v="133"/>
    <s v="T. Baldanzi"/>
    <x v="11"/>
    <s v="Centrocampista"/>
    <x v="8"/>
    <n v="0"/>
  </r>
  <r>
    <n v="133"/>
    <s v="N. Barella"/>
    <x v="0"/>
    <s v="Centrocampista"/>
    <x v="8"/>
    <n v="0"/>
  </r>
  <r>
    <n v="133"/>
    <s v="T. Basic"/>
    <x v="19"/>
    <s v="Centrocampista"/>
    <x v="8"/>
    <n v="0"/>
  </r>
  <r>
    <n v="133"/>
    <s v="A. Bastoni"/>
    <x v="0"/>
    <s v="Difensore"/>
    <x v="8"/>
    <n v="0"/>
  </r>
  <r>
    <n v="133"/>
    <s v="A. Benedyczak"/>
    <x v="10"/>
    <s v="Attaccante"/>
    <x v="8"/>
    <n v="1"/>
  </r>
  <r>
    <n v="133"/>
    <s v="F. Bernardeschi"/>
    <x v="5"/>
    <s v="Attaccante"/>
    <x v="8"/>
    <n v="0"/>
  </r>
  <r>
    <n v="133"/>
    <s v="A. Bernede"/>
    <x v="9"/>
    <s v="Centrocampista"/>
    <x v="8"/>
    <n v="0"/>
  </r>
  <r>
    <n v="133"/>
    <s v="S. Beukema"/>
    <x v="2"/>
    <s v="Difensore"/>
    <x v="8"/>
    <n v="0"/>
  </r>
  <r>
    <n v="133"/>
    <s v="I. Bravo"/>
    <x v="6"/>
    <s v="Attaccante"/>
    <x v="8"/>
    <n v="0"/>
  </r>
  <r>
    <n v="133"/>
    <s v="A. Buksa"/>
    <x v="6"/>
    <s v="Attaccante"/>
    <x v="8"/>
    <n v="0"/>
  </r>
  <r>
    <n v="133"/>
    <s v="F. Camarda"/>
    <x v="18"/>
    <s v="Attaccante"/>
    <x v="8"/>
    <n v="0"/>
  </r>
  <r>
    <n v="133"/>
    <s v="M. Caqueret"/>
    <x v="1"/>
    <s v="Centrocampista"/>
    <x v="8"/>
    <n v="0"/>
  </r>
  <r>
    <n v="133"/>
    <s v="W. Cheddira"/>
    <x v="18"/>
    <s v="Attaccante"/>
    <x v="8"/>
    <n v="0"/>
  </r>
  <r>
    <n v="133"/>
    <s v="A. Circati"/>
    <x v="10"/>
    <s v="Difensore"/>
    <x v="8"/>
    <n v="0"/>
  </r>
  <r>
    <n v="133"/>
    <s v="S. Coco"/>
    <x v="13"/>
    <s v="Difensore"/>
    <x v="8"/>
    <n v="0"/>
  </r>
  <r>
    <n v="133"/>
    <s v="T. Gabriel"/>
    <x v="18"/>
    <s v="Difensore"/>
    <x v="8"/>
    <n v="0"/>
  </r>
  <r>
    <n v="133"/>
    <s v="P. Comuzzo"/>
    <x v="7"/>
    <s v="Difensore"/>
    <x v="8"/>
    <n v="0"/>
  </r>
  <r>
    <n v="133"/>
    <s v="B. Cristante"/>
    <x v="12"/>
    <s v="Centrocampista"/>
    <x v="8"/>
    <n v="0"/>
  </r>
  <r>
    <n v="133"/>
    <s v="J. Cuadrado"/>
    <x v="16"/>
    <s v="Centrocampista"/>
    <x v="8"/>
    <n v="1"/>
  </r>
  <r>
    <n v="133"/>
    <s v="P. Cutrone"/>
    <x v="1"/>
    <s v="Attaccante"/>
    <x v="8"/>
    <n v="0"/>
  </r>
  <r>
    <n v="133"/>
    <s v="T. Dallinga"/>
    <x v="5"/>
    <s v="Attaccante"/>
    <x v="8"/>
    <n v="0"/>
  </r>
  <r>
    <n v="133"/>
    <s v="M. De Luca"/>
    <x v="15"/>
    <s v="Attaccante"/>
    <x v="8"/>
    <n v="1"/>
  </r>
  <r>
    <n v="133"/>
    <s v="K. De Winter"/>
    <x v="3"/>
    <s v="Difensore"/>
    <x v="8"/>
    <n v="0"/>
  </r>
  <r>
    <n v="133"/>
    <s v="E. Delprato"/>
    <x v="10"/>
    <s v="Difensore"/>
    <x v="8"/>
    <n v="0"/>
  </r>
  <r>
    <n v="133"/>
    <s v="G. Di Lorenzo"/>
    <x v="2"/>
    <s v="Difensore"/>
    <x v="8"/>
    <n v="0"/>
  </r>
  <r>
    <n v="133"/>
    <s v="B. Dia"/>
    <x v="19"/>
    <s v="Attaccante"/>
    <x v="8"/>
    <n v="0"/>
  </r>
  <r>
    <n v="133"/>
    <s v="D. Dumfries"/>
    <x v="0"/>
    <s v="Difensore"/>
    <x v="8"/>
    <n v="0"/>
  </r>
  <r>
    <n v="133"/>
    <s v="R. Durosinmi"/>
    <x v="16"/>
    <s v="Attaccante"/>
    <x v="8"/>
    <n v="0"/>
  </r>
  <r>
    <n v="133"/>
    <s v="M. Ellertsson"/>
    <x v="11"/>
    <s v="Centrocampista"/>
    <x v="8"/>
    <n v="0"/>
  </r>
  <r>
    <n v="133"/>
    <s v="N. Fagioli"/>
    <x v="7"/>
    <s v="Centrocampista"/>
    <x v="8"/>
    <n v="0"/>
  </r>
  <r>
    <n v="133"/>
    <s v="L. Ferguson"/>
    <x v="5"/>
    <s v="Centrocampista"/>
    <x v="8"/>
    <n v="0"/>
  </r>
  <r>
    <n v="133"/>
    <s v="Y. Fofana"/>
    <x v="3"/>
    <s v="Centrocampista"/>
    <x v="8"/>
    <n v="0"/>
  </r>
  <r>
    <n v="133"/>
    <s v="F. Folino"/>
    <x v="15"/>
    <s v="Difensore"/>
    <x v="8"/>
    <n v="0"/>
  </r>
  <r>
    <n v="133"/>
    <s v="M. Folorunsho"/>
    <x v="17"/>
    <s v="Centrocampista"/>
    <x v="8"/>
    <n v="0"/>
  </r>
  <r>
    <n v="133"/>
    <s v="M. Frendrup"/>
    <x v="11"/>
    <s v="Centrocampista"/>
    <x v="8"/>
    <n v="0"/>
  </r>
  <r>
    <n v="133"/>
    <s v="M. Frese"/>
    <x v="9"/>
    <s v="Difensore"/>
    <x v="8"/>
    <n v="0"/>
  </r>
  <r>
    <n v="133"/>
    <s v="N. Füllkrug"/>
    <x v="3"/>
    <s v="Attaccante"/>
    <x v="8"/>
    <n v="0"/>
  </r>
  <r>
    <n v="133"/>
    <s v="R. Gagliardini"/>
    <x v="9"/>
    <s v="Centrocampista"/>
    <x v="8"/>
    <n v="0"/>
  </r>
  <r>
    <n v="133"/>
    <s v="F. Gatti"/>
    <x v="4"/>
    <s v="Difensore"/>
    <x v="8"/>
    <n v="0"/>
  </r>
  <r>
    <n v="133"/>
    <s v="B. Gilmour"/>
    <x v="2"/>
    <s v="Centrocampista"/>
    <x v="8"/>
    <n v="0"/>
  </r>
  <r>
    <n v="133"/>
    <s v="M. Gutiérrez"/>
    <x v="2"/>
    <s v="Difensore"/>
    <x v="8"/>
    <n v="0"/>
  </r>
  <r>
    <n v="133"/>
    <s v="A. Harroui"/>
    <x v="9"/>
    <s v="Centrocampista"/>
    <x v="8"/>
    <n v="1"/>
  </r>
  <r>
    <n v="133"/>
    <s v="M. Hermoso"/>
    <x v="12"/>
    <s v="Difensore"/>
    <x v="8"/>
    <n v="0"/>
  </r>
  <r>
    <n v="133"/>
    <s v="I. Hien"/>
    <x v="8"/>
    <s v="Difensore"/>
    <x v="8"/>
    <n v="0"/>
  </r>
  <r>
    <n v="133"/>
    <s v="E. Holm"/>
    <x v="4"/>
    <s v="Difensore"/>
    <x v="8"/>
    <n v="0"/>
  </r>
  <r>
    <n v="133"/>
    <s v="E. Iannoni"/>
    <x v="14"/>
    <s v="Centrocampista"/>
    <x v="8"/>
    <n v="0"/>
  </r>
  <r>
    <n v="133"/>
    <s v="D. Johnsen"/>
    <x v="15"/>
    <s v="Attaccante"/>
    <x v="8"/>
    <n v="0"/>
  </r>
  <r>
    <n v="133"/>
    <s v="J. Karlström"/>
    <x v="6"/>
    <s v="Centrocampista"/>
    <x v="8"/>
    <n v="0"/>
  </r>
  <r>
    <n v="133"/>
    <s v="L. Kelly"/>
    <x v="4"/>
    <s v="Difensore"/>
    <x v="8"/>
    <n v="0"/>
  </r>
  <r>
    <n v="133"/>
    <s v="O. Kossounou"/>
    <x v="8"/>
    <s v="Difensore"/>
    <x v="8"/>
    <n v="0"/>
  </r>
  <r>
    <n v="133"/>
    <s v="T. Kristensen"/>
    <x v="6"/>
    <s v="Difensore"/>
    <x v="8"/>
    <n v="0"/>
  </r>
  <r>
    <n v="133"/>
    <s v="N. Kühn"/>
    <x v="1"/>
    <s v="Attaccante"/>
    <x v="8"/>
    <n v="0"/>
  </r>
  <r>
    <n v="133"/>
    <s v="N. Lang"/>
    <x v="2"/>
    <s v="Attaccante"/>
    <x v="8"/>
    <n v="0"/>
  </r>
  <r>
    <n v="133"/>
    <s v="S. Lobotka"/>
    <x v="2"/>
    <s v="Centrocampista"/>
    <x v="8"/>
    <n v="0"/>
  </r>
  <r>
    <n v="133"/>
    <s v="M. Locatelli"/>
    <x v="4"/>
    <s v="Centrocampista"/>
    <x v="8"/>
    <n v="0"/>
  </r>
  <r>
    <n v="133"/>
    <s v="F. Loyola"/>
    <x v="16"/>
    <s v="Difensore"/>
    <x v="8"/>
    <n v="0"/>
  </r>
  <r>
    <n v="133"/>
    <s v="L. Lucca"/>
    <x v="2"/>
    <s v="Attaccante"/>
    <x v="8"/>
    <n v="0"/>
  </r>
  <r>
    <n v="133"/>
    <s v="J. Lucumí"/>
    <x v="5"/>
    <s v="Difensore"/>
    <x v="8"/>
    <n v="0"/>
  </r>
  <r>
    <n v="133"/>
    <s v="S. Luperto"/>
    <x v="15"/>
    <s v="Difensore"/>
    <x v="8"/>
    <n v="0"/>
  </r>
  <r>
    <n v="133"/>
    <s v="M. Léris"/>
    <x v="16"/>
    <s v="Centrocampista"/>
    <x v="8"/>
    <n v="0"/>
  </r>
  <r>
    <n v="133"/>
    <s v="A. Martín"/>
    <x v="11"/>
    <s v="Difensore"/>
    <x v="8"/>
    <n v="0"/>
  </r>
  <r>
    <n v="133"/>
    <s v="N. Matic"/>
    <x v="14"/>
    <s v="Centrocampista"/>
    <x v="8"/>
    <n v="0"/>
  </r>
  <r>
    <n v="133"/>
    <s v="J. Messias"/>
    <x v="11"/>
    <s v="Attaccante"/>
    <x v="8"/>
    <n v="0"/>
  </r>
  <r>
    <n v="133"/>
    <s v="Y. Mina"/>
    <x v="17"/>
    <s v="Difensore"/>
    <x v="8"/>
    <n v="0"/>
  </r>
  <r>
    <n v="133"/>
    <s v="J. Miranda"/>
    <x v="5"/>
    <s v="Difensore"/>
    <x v="8"/>
    <n v="0"/>
  </r>
  <r>
    <n v="133"/>
    <s v="F. Miretti"/>
    <x v="4"/>
    <s v="Centrocampista"/>
    <x v="8"/>
    <n v="0"/>
  </r>
  <r>
    <n v="133"/>
    <s v="H. Mkhitaryan"/>
    <x v="0"/>
    <s v="Centrocampista"/>
    <x v="8"/>
    <n v="0"/>
  </r>
  <r>
    <n v="133"/>
    <s v="A. Moreno"/>
    <x v="1"/>
    <s v="Difensore"/>
    <x v="8"/>
    <n v="0"/>
  </r>
  <r>
    <n v="133"/>
    <s v="C. Ndour"/>
    <x v="7"/>
    <s v="Centrocampista"/>
    <x v="8"/>
    <n v="0"/>
  </r>
  <r>
    <n v="133"/>
    <s v="C. Ngonge"/>
    <x v="13"/>
    <s v="Attaccante"/>
    <x v="8"/>
    <n v="0"/>
  </r>
  <r>
    <n v="133"/>
    <s v="A. Njie"/>
    <x v="13"/>
    <s v="Attaccante"/>
    <x v="8"/>
    <n v="0"/>
  </r>
  <r>
    <n v="133"/>
    <s v="B. Norton-Cuffy"/>
    <x v="11"/>
    <s v="Difensore"/>
    <x v="8"/>
    <n v="0"/>
  </r>
  <r>
    <n v="133"/>
    <s v="L. Openda"/>
    <x v="4"/>
    <s v="Attaccante"/>
    <x v="8"/>
    <n v="0"/>
  </r>
  <r>
    <n v="133"/>
    <s v="C. Ordóñez"/>
    <x v="10"/>
    <s v="Centrocampista"/>
    <x v="8"/>
    <n v="0"/>
  </r>
  <r>
    <n v="133"/>
    <s v="M. Palestra"/>
    <x v="17"/>
    <s v="Centrocampista"/>
    <x v="8"/>
    <n v="0"/>
  </r>
  <r>
    <n v="133"/>
    <s v="M. Payero"/>
    <x v="15"/>
    <s v="Centrocampista"/>
    <x v="8"/>
    <n v="0"/>
  </r>
  <r>
    <n v="133"/>
    <s v="Lorran"/>
    <x v="16"/>
    <s v="Centrocampista"/>
    <x v="8"/>
    <n v="0"/>
  </r>
  <r>
    <n v="133"/>
    <s v="J. Piotrowski"/>
    <x v="6"/>
    <s v="Centrocampista"/>
    <x v="8"/>
    <n v="0"/>
  </r>
  <r>
    <n v="133"/>
    <s v="S. Posch"/>
    <x v="5"/>
    <s v="Difensore"/>
    <x v="8"/>
    <n v="0"/>
  </r>
  <r>
    <n v="133"/>
    <s v="M. Prati"/>
    <x v="13"/>
    <s v="Centrocampista"/>
    <x v="8"/>
    <n v="0"/>
  </r>
  <r>
    <n v="133"/>
    <s v="Y. Ramadani"/>
    <x v="18"/>
    <s v="Centrocampista"/>
    <x v="8"/>
    <n v="0"/>
  </r>
  <r>
    <n v="133"/>
    <s v="L. Ranieri"/>
    <x v="7"/>
    <s v="Difensore"/>
    <x v="8"/>
    <n v="0"/>
  </r>
  <r>
    <n v="133"/>
    <s v="G. Raspadori"/>
    <x v="8"/>
    <s v="Attaccante"/>
    <x v="8"/>
    <n v="0"/>
  </r>
  <r>
    <n v="133"/>
    <s v="S. Ricci"/>
    <x v="3"/>
    <s v="Centrocampista"/>
    <x v="8"/>
    <n v="0"/>
  </r>
  <r>
    <n v="133"/>
    <s v="A. Rrahmani"/>
    <x v="2"/>
    <s v="Difensore"/>
    <x v="8"/>
    <n v="0"/>
  </r>
  <r>
    <n v="133"/>
    <s v="L. Samardzic"/>
    <x v="8"/>
    <s v="Centrocampista"/>
    <x v="8"/>
    <n v="0"/>
  </r>
  <r>
    <n v="133"/>
    <s v="A. Sanabria"/>
    <x v="15"/>
    <s v="Attaccante"/>
    <x v="8"/>
    <n v="0"/>
  </r>
  <r>
    <n v="133"/>
    <s v="R. Sottil"/>
    <x v="18"/>
    <s v="Attaccante"/>
    <x v="8"/>
    <n v="0"/>
  </r>
  <r>
    <n v="133"/>
    <s v="P. Sucic"/>
    <x v="0"/>
    <s v="Centrocampista"/>
    <x v="8"/>
    <n v="0"/>
  </r>
  <r>
    <n v="133"/>
    <s v="I. Sulemana"/>
    <x v="17"/>
    <s v="Centrocampista"/>
    <x v="8"/>
    <n v="0"/>
  </r>
  <r>
    <n v="133"/>
    <s v="O. Sørensen"/>
    <x v="10"/>
    <s v="Centrocampista"/>
    <x v="8"/>
    <n v="0"/>
  </r>
  <r>
    <n v="133"/>
    <s v="K. Taylor"/>
    <x v="19"/>
    <s v="Centrocampista"/>
    <x v="8"/>
    <n v="0"/>
  </r>
  <r>
    <n v="133"/>
    <s v="K. Thuram"/>
    <x v="4"/>
    <s v="Centrocampista"/>
    <x v="8"/>
    <n v="0"/>
  </r>
  <r>
    <n v="133"/>
    <s v="I. Touré"/>
    <x v="16"/>
    <s v="Centrocampista"/>
    <x v="8"/>
    <n v="0"/>
  </r>
  <r>
    <n v="133"/>
    <s v="Y. Trepy"/>
    <x v="17"/>
    <s v="Attaccante"/>
    <x v="8"/>
    <n v="0"/>
  </r>
  <r>
    <n v="133"/>
    <s v="A. Vergara"/>
    <x v="2"/>
    <s v="Centrocampista"/>
    <x v="8"/>
    <n v="0"/>
  </r>
  <r>
    <n v="133"/>
    <s v="M. Vojvoda"/>
    <x v="1"/>
    <s v="Difensore"/>
    <x v="8"/>
    <n v="0"/>
  </r>
  <r>
    <n v="133"/>
    <s v="C. Volpato"/>
    <x v="14"/>
    <s v="Centrocampista"/>
    <x v="8"/>
    <n v="0"/>
  </r>
  <r>
    <n v="133"/>
    <s v="F. Vázquez"/>
    <x v="15"/>
    <s v="Attaccante"/>
    <x v="8"/>
    <n v="0"/>
  </r>
  <r>
    <n v="133"/>
    <s v="A. Zanoli"/>
    <x v="6"/>
    <s v="Difensore"/>
    <x v="8"/>
    <n v="0"/>
  </r>
  <r>
    <n v="133"/>
    <s v="D. Zapata"/>
    <x v="13"/>
    <s v="Attaccante"/>
    <x v="8"/>
    <n v="0"/>
  </r>
  <r>
    <n v="133"/>
    <s v="D. Zappacosta"/>
    <x v="8"/>
    <s v="Difensore"/>
    <x v="8"/>
    <n v="0"/>
  </r>
  <r>
    <n v="133"/>
    <s v="C. Augusto"/>
    <x v="0"/>
    <s v="Difensore"/>
    <x v="8"/>
    <n v="0"/>
  </r>
  <r>
    <n v="133"/>
    <s v="A. Santos"/>
    <x v="2"/>
    <s v="Attaccante"/>
    <x v="8"/>
    <n v="0"/>
  </r>
  <r>
    <n v="133"/>
    <s v="L. Henrique"/>
    <x v="0"/>
    <s v="Attaccante"/>
    <x v="8"/>
    <n v="0"/>
  </r>
  <r>
    <n v="133"/>
    <s v="M. de Roon"/>
    <x v="8"/>
    <s v="Centrocampista"/>
    <x v="8"/>
    <n v="0"/>
  </r>
  <r>
    <n v="133"/>
    <s v="Éderson"/>
    <x v="8"/>
    <s v="Centrocampista"/>
    <x v="8"/>
    <n v="1"/>
  </r>
  <r>
    <n v="133"/>
    <s v="Z. Çelik"/>
    <x v="12"/>
    <s v="Difensore"/>
    <x v="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1A1D3-52A4-4228-825C-117BBBCC7B99}" name="Tabella pivot3" cacheId="1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I26:J47" firstHeaderRow="1" firstDataRow="1" firstDataCol="1"/>
  <pivotFields count="6">
    <pivotField showAll="0"/>
    <pivotField dataField="1" showAll="0"/>
    <pivotField axis="axisRow" showAll="0">
      <items count="21">
        <item x="8"/>
        <item x="5"/>
        <item x="17"/>
        <item x="1"/>
        <item x="15"/>
        <item x="7"/>
        <item x="11"/>
        <item x="9"/>
        <item x="0"/>
        <item x="4"/>
        <item x="19"/>
        <item x="18"/>
        <item x="3"/>
        <item x="2"/>
        <item x="10"/>
        <item x="16"/>
        <item x="12"/>
        <item x="14"/>
        <item x="13"/>
        <item x="6"/>
        <item t="default"/>
      </items>
    </pivotField>
    <pivotField showAll="0"/>
    <pivotField showAll="0"/>
    <pivotField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nteggio di Play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D7599-0A32-45A8-895A-A18B6F954D12}" name="Tabella pivot2" cacheId="1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I12:J22" firstHeaderRow="1" firstDataRow="1" firstDataCol="1"/>
  <pivotFields count="6">
    <pivotField showAll="0"/>
    <pivotField dataField="1" showAll="0"/>
    <pivotField showAll="0"/>
    <pivotField showAll="0"/>
    <pivotField axis="axisRow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nteggio di Player" fld="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FF0ADA62-EB95-4859-88F9-11674F646574}" autoFormatId="16" applyNumberFormats="0" applyBorderFormats="0" applyFontFormats="0" applyPatternFormats="0" applyAlignmentFormats="0" applyWidthHeightFormats="0">
  <queryTableRefresh nextId="7">
    <queryTableFields count="6">
      <queryTableField id="1" name="Rank" tableColumnId="1"/>
      <queryTableField id="2" name="Player" tableColumnId="2"/>
      <queryTableField id="3" name="Team" tableColumnId="3"/>
      <queryTableField id="4" name="Position" tableColumnId="4"/>
      <queryTableField id="5" name="Goals" tableColumnId="5"/>
      <queryTableField id="6" name="Penalti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2DEB7C-A3AB-4481-8A4B-05FAEACB0BD3}" name="Scorers2026" displayName="Scorers2026" ref="A1:F246" tableType="queryTable" totalsRowShown="0">
  <autoFilter ref="A1:F246" xr:uid="{462DEB7C-A3AB-4481-8A4B-05FAEACB0BD3}"/>
  <tableColumns count="6">
    <tableColumn id="1" xr3:uid="{70C3BA8F-89EC-40FF-9DA3-070787571233}" uniqueName="1" name="Rank" queryTableFieldId="1"/>
    <tableColumn id="2" xr3:uid="{2E370FB5-56DC-435C-8E71-6D849920C438}" uniqueName="2" name="Player" queryTableFieldId="2" dataDxfId="2"/>
    <tableColumn id="3" xr3:uid="{303F3C9A-B0E7-425F-A5DC-2FA78EE7376F}" uniqueName="3" name="Team" queryTableFieldId="3" dataDxfId="1"/>
    <tableColumn id="4" xr3:uid="{BD59A569-3C07-45F5-BE7B-FBCA07D078DF}" uniqueName="4" name="Position" queryTableFieldId="4" dataDxfId="0"/>
    <tableColumn id="5" xr3:uid="{427A12C4-8000-4D66-83F0-BFA1D309821D}" uniqueName="5" name="Goals" queryTableFieldId="5"/>
    <tableColumn id="6" xr3:uid="{ABD5F5C5-DF44-43B2-A640-A96249235C9A}" uniqueName="6" name="Penaltie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F5D0-F8B4-47D3-9833-78514FECF2A7}">
  <dimension ref="A1:M246"/>
  <sheetViews>
    <sheetView tabSelected="1" topLeftCell="A59" zoomScaleNormal="100" workbookViewId="0">
      <selection activeCell="M66" sqref="M66"/>
    </sheetView>
  </sheetViews>
  <sheetFormatPr defaultRowHeight="14.4" x14ac:dyDescent="0.3"/>
  <cols>
    <col min="1" max="1" width="7.33203125" bestFit="1" customWidth="1"/>
    <col min="2" max="2" width="14.77734375" bestFit="1" customWidth="1"/>
    <col min="3" max="3" width="12.21875" bestFit="1" customWidth="1"/>
    <col min="4" max="4" width="14" bestFit="1" customWidth="1"/>
    <col min="5" max="5" width="8" bestFit="1" customWidth="1"/>
    <col min="6" max="6" width="11" bestFit="1" customWidth="1"/>
    <col min="9" max="9" width="17.21875" bestFit="1" customWidth="1"/>
    <col min="10" max="10" width="16.88671875" bestFit="1" customWidth="1"/>
    <col min="11" max="11" width="10.33203125" customWidth="1"/>
    <col min="12" max="13" width="16.77734375" customWidth="1"/>
    <col min="14" max="15" width="9.88671875" bestFit="1" customWidth="1"/>
    <col min="16" max="17" width="8" bestFit="1" customWidth="1"/>
    <col min="18" max="18" width="11.44140625" bestFit="1" customWidth="1"/>
    <col min="19" max="19" width="8.6640625" bestFit="1" customWidth="1"/>
    <col min="20" max="20" width="9.109375" bestFit="1" customWidth="1"/>
    <col min="21" max="21" width="8.77734375" bestFit="1" customWidth="1"/>
    <col min="22" max="22" width="15.109375" bestFit="1" customWidth="1"/>
    <col min="23" max="23" width="9.21875" bestFit="1" customWidth="1"/>
    <col min="24" max="24" width="10.77734375" bestFit="1" customWidth="1"/>
    <col min="25" max="25" width="10.5546875" bestFit="1" customWidth="1"/>
    <col min="26" max="26" width="8.33203125" bestFit="1" customWidth="1"/>
    <col min="27" max="27" width="9.109375" bestFit="1" customWidth="1"/>
    <col min="28" max="28" width="6.44140625" bestFit="1" customWidth="1"/>
    <col min="29" max="29" width="11.5546875" bestFit="1" customWidth="1"/>
    <col min="30" max="30" width="8.44140625" bestFit="1" customWidth="1"/>
    <col min="31" max="31" width="11" bestFit="1" customWidth="1"/>
    <col min="32" max="32" width="15" bestFit="1" customWidth="1"/>
    <col min="33" max="33" width="10.44140625" bestFit="1" customWidth="1"/>
    <col min="34" max="34" width="8.6640625" bestFit="1" customWidth="1"/>
    <col min="35" max="35" width="9.33203125" bestFit="1" customWidth="1"/>
    <col min="36" max="36" width="8.109375" bestFit="1" customWidth="1"/>
    <col min="37" max="37" width="10.6640625" bestFit="1" customWidth="1"/>
    <col min="38" max="38" width="5.77734375" bestFit="1" customWidth="1"/>
    <col min="39" max="39" width="9.77734375" bestFit="1" customWidth="1"/>
    <col min="40" max="40" width="13.6640625" bestFit="1" customWidth="1"/>
    <col min="41" max="41" width="7.109375" bestFit="1" customWidth="1"/>
    <col min="43" max="43" width="9.6640625" bestFit="1" customWidth="1"/>
    <col min="44" max="44" width="9.88671875" bestFit="1" customWidth="1"/>
    <col min="45" max="45" width="13.77734375" bestFit="1" customWidth="1"/>
    <col min="46" max="46" width="9.21875" bestFit="1" customWidth="1"/>
    <col min="47" max="47" width="10.77734375" bestFit="1" customWidth="1"/>
    <col min="48" max="48" width="8.21875" bestFit="1" customWidth="1"/>
    <col min="49" max="49" width="9.21875" bestFit="1" customWidth="1"/>
    <col min="50" max="50" width="9.44140625" bestFit="1" customWidth="1"/>
    <col min="51" max="51" width="10.109375" bestFit="1" customWidth="1"/>
    <col min="52" max="52" width="8.77734375" bestFit="1" customWidth="1"/>
    <col min="53" max="53" width="9.5546875" bestFit="1" customWidth="1"/>
    <col min="54" max="54" width="11.88671875" bestFit="1" customWidth="1"/>
    <col min="55" max="56" width="9.21875" bestFit="1" customWidth="1"/>
    <col min="57" max="57" width="10.6640625" bestFit="1" customWidth="1"/>
    <col min="58" max="58" width="9.6640625" bestFit="1" customWidth="1"/>
    <col min="59" max="59" width="8.109375" bestFit="1" customWidth="1"/>
    <col min="60" max="60" width="8" bestFit="1" customWidth="1"/>
    <col min="61" max="61" width="10.21875" bestFit="1" customWidth="1"/>
    <col min="63" max="63" width="12.88671875" bestFit="1" customWidth="1"/>
    <col min="64" max="64" width="10.109375" bestFit="1" customWidth="1"/>
    <col min="65" max="65" width="10.33203125" bestFit="1" customWidth="1"/>
    <col min="66" max="66" width="7.44140625" bestFit="1" customWidth="1"/>
    <col min="67" max="67" width="9" bestFit="1" customWidth="1"/>
    <col min="68" max="68" width="7.6640625" bestFit="1" customWidth="1"/>
    <col min="69" max="69" width="10.21875" bestFit="1" customWidth="1"/>
    <col min="70" max="70" width="12.44140625" bestFit="1" customWidth="1"/>
    <col min="71" max="71" width="14" bestFit="1" customWidth="1"/>
    <col min="72" max="72" width="10.88671875" bestFit="1" customWidth="1"/>
    <col min="73" max="73" width="10.5546875" bestFit="1" customWidth="1"/>
    <col min="74" max="74" width="11.6640625" bestFit="1" customWidth="1"/>
    <col min="75" max="75" width="10" bestFit="1" customWidth="1"/>
    <col min="76" max="76" width="8" bestFit="1" customWidth="1"/>
    <col min="77" max="77" width="7.109375" bestFit="1" customWidth="1"/>
    <col min="78" max="78" width="8.109375" bestFit="1" customWidth="1"/>
    <col min="79" max="79" width="8.21875" bestFit="1" customWidth="1"/>
    <col min="80" max="80" width="8.44140625" bestFit="1" customWidth="1"/>
    <col min="81" max="81" width="13.109375" bestFit="1" customWidth="1"/>
    <col min="82" max="82" width="12.6640625" bestFit="1" customWidth="1"/>
    <col min="83" max="83" width="9.88671875" bestFit="1" customWidth="1"/>
    <col min="84" max="84" width="9.33203125" bestFit="1" customWidth="1"/>
    <col min="85" max="85" width="11.77734375" bestFit="1" customWidth="1"/>
    <col min="86" max="86" width="10" bestFit="1" customWidth="1"/>
    <col min="87" max="87" width="10.21875" bestFit="1" customWidth="1"/>
    <col min="88" max="88" width="9.5546875" bestFit="1" customWidth="1"/>
    <col min="89" max="89" width="10" bestFit="1" customWidth="1"/>
    <col min="90" max="90" width="8.33203125" bestFit="1" customWidth="1"/>
    <col min="91" max="91" width="11.6640625" bestFit="1" customWidth="1"/>
    <col min="92" max="92" width="9.88671875" bestFit="1" customWidth="1"/>
    <col min="93" max="93" width="12" bestFit="1" customWidth="1"/>
    <col min="94" max="94" width="10.5546875" bestFit="1" customWidth="1"/>
    <col min="95" max="95" width="7.77734375" bestFit="1" customWidth="1"/>
    <col min="96" max="96" width="12.44140625" bestFit="1" customWidth="1"/>
    <col min="97" max="97" width="9.44140625" bestFit="1" customWidth="1"/>
    <col min="98" max="98" width="12.44140625" bestFit="1" customWidth="1"/>
    <col min="99" max="99" width="7.109375" bestFit="1" customWidth="1"/>
    <col min="100" max="100" width="6.33203125" bestFit="1" customWidth="1"/>
    <col min="101" max="101" width="6.5546875" bestFit="1" customWidth="1"/>
    <col min="102" max="102" width="10.77734375" bestFit="1" customWidth="1"/>
    <col min="103" max="103" width="7" bestFit="1" customWidth="1"/>
    <col min="104" max="105" width="7.44140625" bestFit="1" customWidth="1"/>
    <col min="106" max="106" width="10.6640625" bestFit="1" customWidth="1"/>
    <col min="107" max="107" width="7.33203125" bestFit="1" customWidth="1"/>
    <col min="109" max="109" width="14" bestFit="1" customWidth="1"/>
    <col min="110" max="110" width="10.77734375" bestFit="1" customWidth="1"/>
    <col min="111" max="111" width="8.6640625" bestFit="1" customWidth="1"/>
    <col min="112" max="112" width="9.21875" bestFit="1" customWidth="1"/>
    <col min="113" max="113" width="9.33203125" bestFit="1" customWidth="1"/>
    <col min="114" max="114" width="9.6640625" bestFit="1" customWidth="1"/>
    <col min="115" max="115" width="11.33203125" bestFit="1" customWidth="1"/>
    <col min="116" max="116" width="8.33203125" bestFit="1" customWidth="1"/>
    <col min="117" max="117" width="7.33203125" bestFit="1" customWidth="1"/>
    <col min="118" max="118" width="7.5546875" bestFit="1" customWidth="1"/>
    <col min="119" max="119" width="11.21875" bestFit="1" customWidth="1"/>
    <col min="120" max="120" width="11.109375" bestFit="1" customWidth="1"/>
    <col min="121" max="121" width="9.77734375" bestFit="1" customWidth="1"/>
    <col min="122" max="122" width="11.33203125" bestFit="1" customWidth="1"/>
    <col min="123" max="123" width="8" bestFit="1" customWidth="1"/>
    <col min="124" max="124" width="11.77734375" bestFit="1" customWidth="1"/>
    <col min="125" max="125" width="9.21875" bestFit="1" customWidth="1"/>
    <col min="126" max="126" width="7.6640625" bestFit="1" customWidth="1"/>
    <col min="127" max="127" width="8" bestFit="1" customWidth="1"/>
    <col min="128" max="128" width="10.33203125" bestFit="1" customWidth="1"/>
    <col min="129" max="129" width="10.6640625" bestFit="1" customWidth="1"/>
    <col min="130" max="130" width="10.44140625" bestFit="1" customWidth="1"/>
    <col min="131" max="131" width="10.21875" bestFit="1" customWidth="1"/>
    <col min="132" max="132" width="10.44140625" bestFit="1" customWidth="1"/>
    <col min="133" max="133" width="6.88671875" bestFit="1" customWidth="1"/>
    <col min="134" max="134" width="7.6640625" bestFit="1" customWidth="1"/>
    <col min="135" max="135" width="10" bestFit="1" customWidth="1"/>
    <col min="136" max="136" width="10.88671875" bestFit="1" customWidth="1"/>
    <col min="137" max="137" width="8.5546875" bestFit="1" customWidth="1"/>
    <col min="138" max="138" width="9.33203125" bestFit="1" customWidth="1"/>
    <col min="139" max="139" width="9.88671875" bestFit="1" customWidth="1"/>
    <col min="140" max="140" width="10.6640625" bestFit="1" customWidth="1"/>
    <col min="141" max="141" width="8.6640625" bestFit="1" customWidth="1"/>
    <col min="142" max="142" width="11.77734375" bestFit="1" customWidth="1"/>
    <col min="143" max="143" width="11.88671875" bestFit="1" customWidth="1"/>
    <col min="144" max="144" width="6.21875" bestFit="1" customWidth="1"/>
    <col min="145" max="145" width="8.6640625" bestFit="1" customWidth="1"/>
    <col min="146" max="146" width="11.6640625" bestFit="1" customWidth="1"/>
    <col min="147" max="147" width="8.5546875" bestFit="1" customWidth="1"/>
    <col min="148" max="148" width="10.33203125" bestFit="1" customWidth="1"/>
    <col min="149" max="149" width="9.5546875" bestFit="1" customWidth="1"/>
    <col min="150" max="150" width="12.6640625" bestFit="1" customWidth="1"/>
    <col min="151" max="151" width="12.44140625" bestFit="1" customWidth="1"/>
    <col min="152" max="152" width="11" bestFit="1" customWidth="1"/>
    <col min="153" max="153" width="9.77734375" bestFit="1" customWidth="1"/>
    <col min="154" max="154" width="9.88671875" bestFit="1" customWidth="1"/>
    <col min="155" max="155" width="11.5546875" bestFit="1" customWidth="1"/>
    <col min="156" max="156" width="8" bestFit="1" customWidth="1"/>
    <col min="157" max="157" width="12.44140625" bestFit="1" customWidth="1"/>
    <col min="158" max="158" width="10.88671875" bestFit="1" customWidth="1"/>
    <col min="159" max="159" width="7.88671875" bestFit="1" customWidth="1"/>
    <col min="160" max="160" width="12.21875" bestFit="1" customWidth="1"/>
    <col min="161" max="161" width="11.109375" bestFit="1" customWidth="1"/>
    <col min="162" max="162" width="10.88671875" bestFit="1" customWidth="1"/>
    <col min="163" max="164" width="7.44140625" bestFit="1" customWidth="1"/>
    <col min="165" max="165" width="7.33203125" bestFit="1" customWidth="1"/>
    <col min="166" max="166" width="10.5546875" bestFit="1" customWidth="1"/>
    <col min="167" max="167" width="8.109375" bestFit="1" customWidth="1"/>
    <col min="168" max="168" width="14.21875" bestFit="1" customWidth="1"/>
    <col min="169" max="169" width="10.21875" bestFit="1" customWidth="1"/>
    <col min="170" max="170" width="9.44140625" bestFit="1" customWidth="1"/>
    <col min="171" max="171" width="9" bestFit="1" customWidth="1"/>
    <col min="172" max="172" width="11.6640625" bestFit="1" customWidth="1"/>
    <col min="173" max="173" width="9.77734375" bestFit="1" customWidth="1"/>
    <col min="174" max="174" width="7.33203125" bestFit="1" customWidth="1"/>
    <col min="175" max="175" width="10.6640625" bestFit="1" customWidth="1"/>
    <col min="176" max="176" width="8" bestFit="1" customWidth="1"/>
    <col min="177" max="177" width="9.77734375" bestFit="1" customWidth="1"/>
    <col min="178" max="178" width="9.5546875" bestFit="1" customWidth="1"/>
    <col min="179" max="179" width="10.109375" bestFit="1" customWidth="1"/>
    <col min="180" max="180" width="10" bestFit="1" customWidth="1"/>
    <col min="181" max="181" width="10.77734375" bestFit="1" customWidth="1"/>
    <col min="182" max="182" width="9.109375" bestFit="1" customWidth="1"/>
    <col min="183" max="183" width="12.21875" bestFit="1" customWidth="1"/>
    <col min="184" max="184" width="8.77734375" bestFit="1" customWidth="1"/>
    <col min="185" max="185" width="9.88671875" bestFit="1" customWidth="1"/>
    <col min="186" max="186" width="10" bestFit="1" customWidth="1"/>
    <col min="187" max="187" width="7.33203125" bestFit="1" customWidth="1"/>
    <col min="188" max="188" width="7" bestFit="1" customWidth="1"/>
    <col min="189" max="189" width="7.88671875" bestFit="1" customWidth="1"/>
    <col min="190" max="190" width="7.33203125" bestFit="1" customWidth="1"/>
    <col min="191" max="191" width="6.21875" bestFit="1" customWidth="1"/>
    <col min="192" max="192" width="8.109375" bestFit="1" customWidth="1"/>
    <col min="193" max="193" width="8.33203125" bestFit="1" customWidth="1"/>
    <col min="194" max="194" width="10.5546875" bestFit="1" customWidth="1"/>
    <col min="195" max="195" width="9.33203125" bestFit="1" customWidth="1"/>
    <col min="196" max="196" width="12.88671875" bestFit="1" customWidth="1"/>
    <col min="197" max="197" width="12.109375" bestFit="1" customWidth="1"/>
    <col min="198" max="198" width="7.5546875" bestFit="1" customWidth="1"/>
    <col min="199" max="199" width="10.88671875" bestFit="1" customWidth="1"/>
    <col min="200" max="200" width="10.6640625" bestFit="1" customWidth="1"/>
    <col min="201" max="201" width="9.5546875" bestFit="1" customWidth="1"/>
    <col min="202" max="202" width="8.77734375" bestFit="1" customWidth="1"/>
    <col min="203" max="203" width="8.21875" bestFit="1" customWidth="1"/>
    <col min="204" max="204" width="7.6640625" bestFit="1" customWidth="1"/>
    <col min="205" max="205" width="10.109375" bestFit="1" customWidth="1"/>
    <col min="206" max="206" width="5.88671875" bestFit="1" customWidth="1"/>
    <col min="207" max="207" width="9.6640625" bestFit="1" customWidth="1"/>
    <col min="208" max="208" width="11.5546875" bestFit="1" customWidth="1"/>
    <col min="209" max="209" width="12.21875" bestFit="1" customWidth="1"/>
    <col min="210" max="210" width="9.109375" bestFit="1" customWidth="1"/>
    <col min="211" max="211" width="9.5546875" bestFit="1" customWidth="1"/>
    <col min="212" max="212" width="8.21875" bestFit="1" customWidth="1"/>
    <col min="213" max="213" width="6.88671875" bestFit="1" customWidth="1"/>
    <col min="214" max="214" width="14" bestFit="1" customWidth="1"/>
    <col min="215" max="216" width="12.77734375" bestFit="1" customWidth="1"/>
    <col min="217" max="217" width="9.5546875" bestFit="1" customWidth="1"/>
    <col min="218" max="218" width="8.77734375" bestFit="1" customWidth="1"/>
    <col min="219" max="219" width="7.5546875" bestFit="1" customWidth="1"/>
    <col min="220" max="220" width="10.77734375" bestFit="1" customWidth="1"/>
    <col min="221" max="221" width="8.44140625" bestFit="1" customWidth="1"/>
    <col min="222" max="222" width="7.21875" bestFit="1" customWidth="1"/>
    <col min="223" max="223" width="10.109375" bestFit="1" customWidth="1"/>
    <col min="224" max="224" width="9.5546875" bestFit="1" customWidth="1"/>
    <col min="225" max="225" width="9.6640625" bestFit="1" customWidth="1"/>
    <col min="226" max="226" width="9.33203125" bestFit="1" customWidth="1"/>
    <col min="227" max="227" width="12.44140625" bestFit="1" customWidth="1"/>
    <col min="228" max="228" width="8.109375" bestFit="1" customWidth="1"/>
    <col min="229" max="229" width="10" bestFit="1" customWidth="1"/>
    <col min="230" max="230" width="8" bestFit="1" customWidth="1"/>
    <col min="231" max="231" width="7.21875" bestFit="1" customWidth="1"/>
    <col min="232" max="232" width="8.5546875" bestFit="1" customWidth="1"/>
    <col min="233" max="233" width="10" bestFit="1" customWidth="1"/>
    <col min="234" max="234" width="7.33203125" bestFit="1" customWidth="1"/>
    <col min="235" max="235" width="9.5546875" bestFit="1" customWidth="1"/>
    <col min="236" max="236" width="10.33203125" bestFit="1" customWidth="1"/>
    <col min="237" max="237" width="9" bestFit="1" customWidth="1"/>
    <col min="238" max="238" width="11.5546875" bestFit="1" customWidth="1"/>
    <col min="239" max="239" width="14.109375" bestFit="1" customWidth="1"/>
    <col min="240" max="240" width="8.109375" bestFit="1" customWidth="1"/>
    <col min="242" max="242" width="7.6640625" bestFit="1" customWidth="1"/>
    <col min="243" max="243" width="12.77734375" bestFit="1" customWidth="1"/>
    <col min="244" max="244" width="6.88671875" bestFit="1" customWidth="1"/>
    <col min="245" max="245" width="11.21875" bestFit="1" customWidth="1"/>
    <col min="246" max="246" width="11.6640625" bestFit="1" customWidth="1"/>
    <col min="247" max="247" width="7" bestFit="1" customWidth="1"/>
    <col min="248" max="248" width="9.33203125" bestFit="1" customWidth="1"/>
    <col min="249" max="249" width="8.44140625" bestFit="1" customWidth="1"/>
    <col min="250" max="250" width="6.88671875" bestFit="1" customWidth="1"/>
    <col min="251" max="251" width="11.33203125" bestFit="1" customWidth="1"/>
    <col min="252" max="252" width="7.44140625" bestFit="1" customWidth="1"/>
    <col min="253" max="253" width="11.33203125" bestFit="1" customWidth="1"/>
    <col min="254" max="254" width="7.21875" bestFit="1" customWidth="1"/>
    <col min="255" max="255" width="17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2" t="s">
        <v>282</v>
      </c>
      <c r="J1" s="2"/>
    </row>
    <row r="2" spans="1:13" x14ac:dyDescent="0.3">
      <c r="A2">
        <v>1</v>
      </c>
      <c r="B2" s="1" t="s">
        <v>6</v>
      </c>
      <c r="C2" s="1" t="s">
        <v>7</v>
      </c>
      <c r="D2" s="1" t="s">
        <v>8</v>
      </c>
      <c r="E2">
        <v>14</v>
      </c>
      <c r="F2">
        <v>0</v>
      </c>
      <c r="I2" t="s">
        <v>274</v>
      </c>
      <c r="J2">
        <f>AVERAGE(Scorers2026[Goals])</f>
        <v>2.4122448979591837</v>
      </c>
    </row>
    <row r="3" spans="1:13" x14ac:dyDescent="0.3">
      <c r="A3">
        <v>2</v>
      </c>
      <c r="B3" s="1" t="s">
        <v>9</v>
      </c>
      <c r="C3" s="1" t="s">
        <v>10</v>
      </c>
      <c r="D3" s="1" t="s">
        <v>8</v>
      </c>
      <c r="E3">
        <v>8</v>
      </c>
      <c r="F3">
        <v>1</v>
      </c>
      <c r="I3" t="s">
        <v>276</v>
      </c>
      <c r="J3">
        <f>MEDIAN(Scorers2026[Goals])</f>
        <v>2</v>
      </c>
    </row>
    <row r="4" spans="1:13" x14ac:dyDescent="0.3">
      <c r="A4">
        <v>2</v>
      </c>
      <c r="B4" s="1" t="s">
        <v>11</v>
      </c>
      <c r="C4" s="1" t="s">
        <v>12</v>
      </c>
      <c r="D4" s="1" t="s">
        <v>8</v>
      </c>
      <c r="E4">
        <v>8</v>
      </c>
      <c r="F4">
        <v>1</v>
      </c>
      <c r="I4" t="s">
        <v>277</v>
      </c>
      <c r="J4">
        <f>(MIN(Scorers2026[Goals])+MAX(Scorers2026[Goals]))/2</f>
        <v>7.5</v>
      </c>
    </row>
    <row r="5" spans="1:13" x14ac:dyDescent="0.3">
      <c r="A5">
        <v>2</v>
      </c>
      <c r="B5" s="1" t="s">
        <v>13</v>
      </c>
      <c r="C5" s="1" t="s">
        <v>10</v>
      </c>
      <c r="D5" s="1" t="s">
        <v>14</v>
      </c>
      <c r="E5">
        <v>8</v>
      </c>
      <c r="F5">
        <v>0</v>
      </c>
      <c r="I5" t="s">
        <v>275</v>
      </c>
      <c r="J5">
        <f>MODE(Scorers2026[Goals])</f>
        <v>1</v>
      </c>
    </row>
    <row r="6" spans="1:13" x14ac:dyDescent="0.3">
      <c r="A6">
        <v>2</v>
      </c>
      <c r="B6" s="1" t="s">
        <v>15</v>
      </c>
      <c r="C6" s="1" t="s">
        <v>16</v>
      </c>
      <c r="D6" s="1" t="s">
        <v>14</v>
      </c>
      <c r="E6">
        <v>8</v>
      </c>
      <c r="F6">
        <v>0</v>
      </c>
      <c r="I6" t="s">
        <v>278</v>
      </c>
      <c r="J6">
        <f>_xlfn.STDEV.P(Scorers2026[Goals])</f>
        <v>1.9684898026889284</v>
      </c>
    </row>
    <row r="7" spans="1:13" x14ac:dyDescent="0.3">
      <c r="A7">
        <v>2</v>
      </c>
      <c r="B7" s="1" t="s">
        <v>17</v>
      </c>
      <c r="C7" s="1" t="s">
        <v>18</v>
      </c>
      <c r="D7" s="1" t="s">
        <v>8</v>
      </c>
      <c r="E7">
        <v>8</v>
      </c>
      <c r="F7">
        <v>1</v>
      </c>
      <c r="I7" t="s">
        <v>279</v>
      </c>
      <c r="J7">
        <f>AVEDEV(Scorers2026[Goals])</f>
        <v>1.481082882132438</v>
      </c>
    </row>
    <row r="8" spans="1:13" x14ac:dyDescent="0.3">
      <c r="A8">
        <v>7</v>
      </c>
      <c r="B8" s="1" t="s">
        <v>19</v>
      </c>
      <c r="C8" s="1" t="s">
        <v>20</v>
      </c>
      <c r="D8" s="1" t="s">
        <v>8</v>
      </c>
      <c r="E8">
        <v>7</v>
      </c>
      <c r="F8">
        <v>0</v>
      </c>
      <c r="I8" t="s">
        <v>280</v>
      </c>
      <c r="J8">
        <f>QUARTILE(Scorers2026[Goals],3)-QUARTILE(Scorers2026[Goals],1)</f>
        <v>2</v>
      </c>
    </row>
    <row r="9" spans="1:13" x14ac:dyDescent="0.3">
      <c r="A9">
        <v>7</v>
      </c>
      <c r="B9" s="1" t="s">
        <v>21</v>
      </c>
      <c r="C9" s="1" t="s">
        <v>22</v>
      </c>
      <c r="D9" s="1" t="s">
        <v>8</v>
      </c>
      <c r="E9">
        <v>7</v>
      </c>
      <c r="F9">
        <v>3</v>
      </c>
      <c r="I9" t="s">
        <v>281</v>
      </c>
      <c r="J9">
        <f>MAX(Scorers2026[Goals])-MIN(Scorers2026[Goals])</f>
        <v>13</v>
      </c>
    </row>
    <row r="10" spans="1:13" x14ac:dyDescent="0.3">
      <c r="A10">
        <v>7</v>
      </c>
      <c r="B10" s="1" t="s">
        <v>23</v>
      </c>
      <c r="C10" s="1" t="s">
        <v>24</v>
      </c>
      <c r="D10" s="1" t="s">
        <v>8</v>
      </c>
      <c r="E10">
        <v>7</v>
      </c>
      <c r="F10">
        <v>2</v>
      </c>
    </row>
    <row r="11" spans="1:13" x14ac:dyDescent="0.3">
      <c r="A11">
        <v>7</v>
      </c>
      <c r="B11" s="1" t="s">
        <v>25</v>
      </c>
      <c r="C11" s="1" t="s">
        <v>26</v>
      </c>
      <c r="D11" s="1" t="s">
        <v>8</v>
      </c>
      <c r="E11">
        <v>7</v>
      </c>
      <c r="F11">
        <v>0</v>
      </c>
      <c r="I11" s="2" t="s">
        <v>287</v>
      </c>
      <c r="J11" s="2"/>
      <c r="L11" s="2" t="s">
        <v>286</v>
      </c>
      <c r="M11" s="2"/>
    </row>
    <row r="12" spans="1:13" x14ac:dyDescent="0.3">
      <c r="A12">
        <v>7</v>
      </c>
      <c r="B12" s="1" t="s">
        <v>27</v>
      </c>
      <c r="C12" s="1" t="s">
        <v>28</v>
      </c>
      <c r="D12" s="1" t="s">
        <v>8</v>
      </c>
      <c r="E12">
        <v>7</v>
      </c>
      <c r="F12">
        <v>2</v>
      </c>
      <c r="I12" s="4" t="s">
        <v>283</v>
      </c>
      <c r="J12" t="s">
        <v>285</v>
      </c>
      <c r="L12" s="3" t="s">
        <v>288</v>
      </c>
      <c r="M12" s="3" t="s">
        <v>289</v>
      </c>
    </row>
    <row r="13" spans="1:13" x14ac:dyDescent="0.3">
      <c r="A13">
        <v>7</v>
      </c>
      <c r="B13" s="1" t="s">
        <v>29</v>
      </c>
      <c r="C13" s="1" t="s">
        <v>20</v>
      </c>
      <c r="D13" s="1" t="s">
        <v>8</v>
      </c>
      <c r="E13">
        <v>7</v>
      </c>
      <c r="F13">
        <v>3</v>
      </c>
      <c r="I13" s="5">
        <v>1</v>
      </c>
      <c r="J13" s="1">
        <v>113</v>
      </c>
      <c r="L13" s="5" cm="1">
        <f t="array" ref="L13:L21">_xlfn._xlws.SORT(_xlfn.UNIQUE(Scorers2026[Goals]))</f>
        <v>1</v>
      </c>
      <c r="M13" s="1">
        <f>COUNTIF(Scorers2026[Goals],L13)</f>
        <v>113</v>
      </c>
    </row>
    <row r="14" spans="1:13" x14ac:dyDescent="0.3">
      <c r="A14">
        <v>7</v>
      </c>
      <c r="B14" s="1" t="s">
        <v>30</v>
      </c>
      <c r="C14" s="1" t="s">
        <v>31</v>
      </c>
      <c r="D14" s="1" t="s">
        <v>8</v>
      </c>
      <c r="E14">
        <v>7</v>
      </c>
      <c r="F14">
        <v>1</v>
      </c>
      <c r="I14" s="5">
        <v>2</v>
      </c>
      <c r="J14" s="1">
        <v>53</v>
      </c>
      <c r="L14" s="5">
        <v>2</v>
      </c>
      <c r="M14" s="1">
        <f>COUNTIF(Scorers2026[Goals],L14)</f>
        <v>53</v>
      </c>
    </row>
    <row r="15" spans="1:13" x14ac:dyDescent="0.3">
      <c r="A15">
        <v>7</v>
      </c>
      <c r="B15" s="1" t="s">
        <v>32</v>
      </c>
      <c r="C15" s="1" t="s">
        <v>7</v>
      </c>
      <c r="D15" s="1" t="s">
        <v>8</v>
      </c>
      <c r="E15">
        <v>7</v>
      </c>
      <c r="F15">
        <v>0</v>
      </c>
      <c r="I15" s="5">
        <v>3</v>
      </c>
      <c r="J15" s="1">
        <v>30</v>
      </c>
      <c r="L15" s="5">
        <v>3</v>
      </c>
      <c r="M15" s="1">
        <f>COUNTIF(Scorers2026[Goals],L15)</f>
        <v>30</v>
      </c>
    </row>
    <row r="16" spans="1:13" x14ac:dyDescent="0.3">
      <c r="A16">
        <v>7</v>
      </c>
      <c r="B16" s="1" t="s">
        <v>33</v>
      </c>
      <c r="C16" s="1" t="s">
        <v>16</v>
      </c>
      <c r="D16" s="1" t="s">
        <v>8</v>
      </c>
      <c r="E16">
        <v>7</v>
      </c>
      <c r="F16">
        <v>2</v>
      </c>
      <c r="I16" s="5">
        <v>4</v>
      </c>
      <c r="J16" s="1">
        <v>13</v>
      </c>
      <c r="L16" s="5">
        <v>4</v>
      </c>
      <c r="M16" s="1">
        <f>COUNTIF(Scorers2026[Goals],L16)</f>
        <v>13</v>
      </c>
    </row>
    <row r="17" spans="1:13" x14ac:dyDescent="0.3">
      <c r="A17">
        <v>7</v>
      </c>
      <c r="B17" s="1" t="s">
        <v>34</v>
      </c>
      <c r="C17" s="1" t="s">
        <v>7</v>
      </c>
      <c r="D17" s="1" t="s">
        <v>14</v>
      </c>
      <c r="E17">
        <v>7</v>
      </c>
      <c r="F17">
        <v>3</v>
      </c>
      <c r="I17" s="5">
        <v>5</v>
      </c>
      <c r="J17" s="1">
        <v>14</v>
      </c>
      <c r="L17" s="5">
        <v>5</v>
      </c>
      <c r="M17" s="1">
        <f>COUNTIF(Scorers2026[Goals],L17)</f>
        <v>14</v>
      </c>
    </row>
    <row r="18" spans="1:13" x14ac:dyDescent="0.3">
      <c r="A18">
        <v>17</v>
      </c>
      <c r="B18" s="1" t="s">
        <v>35</v>
      </c>
      <c r="C18" s="1" t="s">
        <v>36</v>
      </c>
      <c r="D18" s="1" t="s">
        <v>8</v>
      </c>
      <c r="E18">
        <v>6</v>
      </c>
      <c r="F18">
        <v>0</v>
      </c>
      <c r="I18" s="5">
        <v>6</v>
      </c>
      <c r="J18" s="1">
        <v>6</v>
      </c>
      <c r="L18" s="5">
        <v>6</v>
      </c>
      <c r="M18" s="1">
        <f>COUNTIF(Scorers2026[Goals],L18)</f>
        <v>6</v>
      </c>
    </row>
    <row r="19" spans="1:13" x14ac:dyDescent="0.3">
      <c r="A19">
        <v>17</v>
      </c>
      <c r="B19" s="1" t="s">
        <v>37</v>
      </c>
      <c r="C19" s="1" t="s">
        <v>24</v>
      </c>
      <c r="D19" s="1" t="s">
        <v>14</v>
      </c>
      <c r="E19">
        <v>6</v>
      </c>
      <c r="F19">
        <v>1</v>
      </c>
      <c r="I19" s="5">
        <v>7</v>
      </c>
      <c r="J19" s="1">
        <v>10</v>
      </c>
      <c r="L19" s="5">
        <v>7</v>
      </c>
      <c r="M19" s="1">
        <f>COUNTIF(Scorers2026[Goals],L19)</f>
        <v>10</v>
      </c>
    </row>
    <row r="20" spans="1:13" x14ac:dyDescent="0.3">
      <c r="A20">
        <v>17</v>
      </c>
      <c r="B20" s="1" t="s">
        <v>38</v>
      </c>
      <c r="C20" s="1" t="s">
        <v>12</v>
      </c>
      <c r="D20" s="1" t="s">
        <v>14</v>
      </c>
      <c r="E20">
        <v>6</v>
      </c>
      <c r="F20">
        <v>0</v>
      </c>
      <c r="I20" s="5">
        <v>8</v>
      </c>
      <c r="J20" s="1">
        <v>5</v>
      </c>
      <c r="L20" s="5">
        <v>8</v>
      </c>
      <c r="M20" s="1">
        <f>COUNTIF(Scorers2026[Goals],L20)</f>
        <v>5</v>
      </c>
    </row>
    <row r="21" spans="1:13" x14ac:dyDescent="0.3">
      <c r="A21">
        <v>17</v>
      </c>
      <c r="B21" s="1" t="s">
        <v>39</v>
      </c>
      <c r="C21" s="1" t="s">
        <v>26</v>
      </c>
      <c r="D21" s="1" t="s">
        <v>8</v>
      </c>
      <c r="E21">
        <v>6</v>
      </c>
      <c r="F21">
        <v>2</v>
      </c>
      <c r="I21" s="5">
        <v>14</v>
      </c>
      <c r="J21" s="1">
        <v>1</v>
      </c>
      <c r="L21" s="5">
        <v>14</v>
      </c>
      <c r="M21" s="1">
        <f>COUNTIF(Scorers2026[Goals],L21)</f>
        <v>1</v>
      </c>
    </row>
    <row r="22" spans="1:13" x14ac:dyDescent="0.3">
      <c r="A22">
        <v>17</v>
      </c>
      <c r="B22" s="1" t="s">
        <v>40</v>
      </c>
      <c r="C22" s="1" t="s">
        <v>41</v>
      </c>
      <c r="D22" s="1" t="s">
        <v>8</v>
      </c>
      <c r="E22">
        <v>6</v>
      </c>
      <c r="F22">
        <v>0</v>
      </c>
      <c r="I22" s="5" t="s">
        <v>284</v>
      </c>
      <c r="J22" s="1">
        <v>245</v>
      </c>
    </row>
    <row r="23" spans="1:13" x14ac:dyDescent="0.3">
      <c r="A23">
        <v>17</v>
      </c>
      <c r="B23" s="1" t="s">
        <v>42</v>
      </c>
      <c r="C23" s="1" t="s">
        <v>43</v>
      </c>
      <c r="D23" s="1" t="s">
        <v>14</v>
      </c>
      <c r="E23">
        <v>6</v>
      </c>
      <c r="F23">
        <v>3</v>
      </c>
    </row>
    <row r="24" spans="1:13" x14ac:dyDescent="0.3">
      <c r="A24">
        <v>23</v>
      </c>
      <c r="B24" s="1" t="s">
        <v>44</v>
      </c>
      <c r="C24" s="1" t="s">
        <v>45</v>
      </c>
      <c r="D24" s="1" t="s">
        <v>8</v>
      </c>
      <c r="E24">
        <v>5</v>
      </c>
      <c r="F24">
        <v>2</v>
      </c>
    </row>
    <row r="25" spans="1:13" x14ac:dyDescent="0.3">
      <c r="A25">
        <v>23</v>
      </c>
      <c r="B25" s="1" t="s">
        <v>46</v>
      </c>
      <c r="C25" s="1" t="s">
        <v>47</v>
      </c>
      <c r="D25" s="1" t="s">
        <v>8</v>
      </c>
      <c r="E25">
        <v>5</v>
      </c>
      <c r="F25">
        <v>1</v>
      </c>
      <c r="I25" s="2" t="s">
        <v>290</v>
      </c>
      <c r="J25" s="2"/>
      <c r="L25" s="2" t="s">
        <v>291</v>
      </c>
      <c r="M25" s="2"/>
    </row>
    <row r="26" spans="1:13" x14ac:dyDescent="0.3">
      <c r="A26">
        <v>23</v>
      </c>
      <c r="B26" s="1" t="s">
        <v>48</v>
      </c>
      <c r="C26" s="1" t="s">
        <v>7</v>
      </c>
      <c r="D26" s="1" t="s">
        <v>8</v>
      </c>
      <c r="E26">
        <v>5</v>
      </c>
      <c r="F26">
        <v>0</v>
      </c>
      <c r="I26" s="4" t="s">
        <v>283</v>
      </c>
      <c r="J26" t="s">
        <v>285</v>
      </c>
      <c r="L26" s="3" t="s">
        <v>292</v>
      </c>
      <c r="M26" s="3" t="s">
        <v>293</v>
      </c>
    </row>
    <row r="27" spans="1:13" x14ac:dyDescent="0.3">
      <c r="A27">
        <v>23</v>
      </c>
      <c r="B27" s="1" t="s">
        <v>49</v>
      </c>
      <c r="C27" s="1" t="s">
        <v>18</v>
      </c>
      <c r="D27" s="1" t="s">
        <v>8</v>
      </c>
      <c r="E27">
        <v>5</v>
      </c>
      <c r="F27">
        <v>0</v>
      </c>
      <c r="I27" s="5" t="s">
        <v>26</v>
      </c>
      <c r="J27" s="1">
        <v>15</v>
      </c>
      <c r="L27" t="str" cm="1">
        <f t="array" ref="L27:L46">_xlfn._xlws.SORT(_xlfn.UNIQUE(Scorers2026[Team]))</f>
        <v>Atalanta</v>
      </c>
      <c r="M27">
        <f>COUNTIF(Scorers2026[Team],L27)</f>
        <v>15</v>
      </c>
    </row>
    <row r="28" spans="1:13" x14ac:dyDescent="0.3">
      <c r="A28">
        <v>23</v>
      </c>
      <c r="B28" s="1" t="s">
        <v>50</v>
      </c>
      <c r="C28" s="1" t="s">
        <v>7</v>
      </c>
      <c r="D28" s="1" t="s">
        <v>51</v>
      </c>
      <c r="E28">
        <v>5</v>
      </c>
      <c r="F28">
        <v>0</v>
      </c>
      <c r="I28" s="5" t="s">
        <v>20</v>
      </c>
      <c r="J28" s="1">
        <v>12</v>
      </c>
      <c r="L28" t="str">
        <v>Bologna</v>
      </c>
      <c r="M28">
        <f>COUNTIF(Scorers2026[Team],L28)</f>
        <v>12</v>
      </c>
    </row>
    <row r="29" spans="1:13" x14ac:dyDescent="0.3">
      <c r="A29">
        <v>23</v>
      </c>
      <c r="B29" s="1" t="s">
        <v>52</v>
      </c>
      <c r="C29" s="1" t="s">
        <v>41</v>
      </c>
      <c r="D29" s="1" t="s">
        <v>8</v>
      </c>
      <c r="E29">
        <v>5</v>
      </c>
      <c r="F29">
        <v>1</v>
      </c>
      <c r="I29" s="5" t="s">
        <v>69</v>
      </c>
      <c r="J29" s="1">
        <v>14</v>
      </c>
      <c r="L29" t="str">
        <v>Cagliari</v>
      </c>
      <c r="M29">
        <f>COUNTIF(Scorers2026[Team],L29)</f>
        <v>14</v>
      </c>
    </row>
    <row r="30" spans="1:13" x14ac:dyDescent="0.3">
      <c r="A30">
        <v>23</v>
      </c>
      <c r="B30" s="1" t="s">
        <v>53</v>
      </c>
      <c r="C30" s="1" t="s">
        <v>36</v>
      </c>
      <c r="D30" s="1" t="s">
        <v>14</v>
      </c>
      <c r="E30">
        <v>5</v>
      </c>
      <c r="F30">
        <v>3</v>
      </c>
      <c r="I30" s="5" t="s">
        <v>10</v>
      </c>
      <c r="J30" s="1">
        <v>13</v>
      </c>
      <c r="L30" t="str">
        <v>Como</v>
      </c>
      <c r="M30">
        <f>COUNTIF(Scorers2026[Team],L30)</f>
        <v>13</v>
      </c>
    </row>
    <row r="31" spans="1:13" x14ac:dyDescent="0.3">
      <c r="A31">
        <v>23</v>
      </c>
      <c r="B31" s="1" t="s">
        <v>54</v>
      </c>
      <c r="C31" s="1" t="s">
        <v>55</v>
      </c>
      <c r="D31" s="1" t="s">
        <v>8</v>
      </c>
      <c r="E31">
        <v>5</v>
      </c>
      <c r="F31">
        <v>1</v>
      </c>
      <c r="I31" s="5" t="s">
        <v>47</v>
      </c>
      <c r="J31" s="1">
        <v>12</v>
      </c>
      <c r="L31" t="str">
        <v>Cremonese</v>
      </c>
      <c r="M31">
        <f>COUNTIF(Scorers2026[Team],L31)</f>
        <v>12</v>
      </c>
    </row>
    <row r="32" spans="1:13" x14ac:dyDescent="0.3">
      <c r="A32">
        <v>23</v>
      </c>
      <c r="B32" s="1" t="s">
        <v>56</v>
      </c>
      <c r="C32" s="1" t="s">
        <v>16</v>
      </c>
      <c r="D32" s="1" t="s">
        <v>8</v>
      </c>
      <c r="E32">
        <v>5</v>
      </c>
      <c r="F32">
        <v>3</v>
      </c>
      <c r="I32" s="5" t="s">
        <v>24</v>
      </c>
      <c r="J32" s="1">
        <v>12</v>
      </c>
      <c r="L32" t="str">
        <v>Fiorentina</v>
      </c>
      <c r="M32">
        <f>COUNTIF(Scorers2026[Team],L32)</f>
        <v>12</v>
      </c>
    </row>
    <row r="33" spans="1:13" x14ac:dyDescent="0.3">
      <c r="A33">
        <v>23</v>
      </c>
      <c r="B33" s="1" t="s">
        <v>57</v>
      </c>
      <c r="C33" s="1" t="s">
        <v>45</v>
      </c>
      <c r="D33" s="1" t="s">
        <v>8</v>
      </c>
      <c r="E33">
        <v>5</v>
      </c>
      <c r="F33">
        <v>0</v>
      </c>
      <c r="I33" s="5" t="s">
        <v>36</v>
      </c>
      <c r="J33" s="1">
        <v>12</v>
      </c>
      <c r="L33" t="str">
        <v>Genoa</v>
      </c>
      <c r="M33">
        <f>COUNTIF(Scorers2026[Team],L33)</f>
        <v>12</v>
      </c>
    </row>
    <row r="34" spans="1:13" x14ac:dyDescent="0.3">
      <c r="A34">
        <v>23</v>
      </c>
      <c r="B34" s="1" t="s">
        <v>58</v>
      </c>
      <c r="C34" s="1" t="s">
        <v>43</v>
      </c>
      <c r="D34" s="1" t="s">
        <v>8</v>
      </c>
      <c r="E34">
        <v>5</v>
      </c>
      <c r="F34">
        <v>0</v>
      </c>
      <c r="I34" s="5" t="s">
        <v>28</v>
      </c>
      <c r="J34" s="1">
        <v>7</v>
      </c>
      <c r="L34" t="str">
        <v>Hellas Verona</v>
      </c>
      <c r="M34">
        <f>COUNTIF(Scorers2026[Team],L34)</f>
        <v>7</v>
      </c>
    </row>
    <row r="35" spans="1:13" x14ac:dyDescent="0.3">
      <c r="A35">
        <v>23</v>
      </c>
      <c r="B35" s="1" t="s">
        <v>59</v>
      </c>
      <c r="C35" s="1" t="s">
        <v>47</v>
      </c>
      <c r="D35" s="1" t="s">
        <v>8</v>
      </c>
      <c r="E35">
        <v>5</v>
      </c>
      <c r="F35">
        <v>0</v>
      </c>
      <c r="I35" s="5" t="s">
        <v>7</v>
      </c>
      <c r="J35" s="1">
        <v>16</v>
      </c>
      <c r="L35" t="str">
        <v>Inter</v>
      </c>
      <c r="M35">
        <f>COUNTIF(Scorers2026[Team],L35)</f>
        <v>16</v>
      </c>
    </row>
    <row r="36" spans="1:13" x14ac:dyDescent="0.3">
      <c r="A36">
        <v>23</v>
      </c>
      <c r="B36" s="1" t="s">
        <v>60</v>
      </c>
      <c r="C36" s="1" t="s">
        <v>22</v>
      </c>
      <c r="D36" s="1" t="s">
        <v>14</v>
      </c>
      <c r="E36">
        <v>5</v>
      </c>
      <c r="F36">
        <v>0</v>
      </c>
      <c r="I36" s="5" t="s">
        <v>18</v>
      </c>
      <c r="J36" s="1">
        <v>18</v>
      </c>
      <c r="L36" t="str">
        <v>Juventus</v>
      </c>
      <c r="M36">
        <f>COUNTIF(Scorers2026[Team],L36)</f>
        <v>18</v>
      </c>
    </row>
    <row r="37" spans="1:13" x14ac:dyDescent="0.3">
      <c r="A37">
        <v>23</v>
      </c>
      <c r="B37" s="1" t="s">
        <v>61</v>
      </c>
      <c r="C37" s="1" t="s">
        <v>7</v>
      </c>
      <c r="D37" s="1" t="s">
        <v>14</v>
      </c>
      <c r="E37">
        <v>5</v>
      </c>
      <c r="F37">
        <v>1</v>
      </c>
      <c r="I37" s="5" t="s">
        <v>83</v>
      </c>
      <c r="J37" s="1">
        <v>11</v>
      </c>
      <c r="L37" t="str">
        <v>Lazio</v>
      </c>
      <c r="M37">
        <f>COUNTIF(Scorers2026[Team],L37)</f>
        <v>11</v>
      </c>
    </row>
    <row r="38" spans="1:13" x14ac:dyDescent="0.3">
      <c r="A38">
        <v>37</v>
      </c>
      <c r="B38" s="1" t="s">
        <v>62</v>
      </c>
      <c r="C38" s="1" t="s">
        <v>43</v>
      </c>
      <c r="D38" s="1" t="s">
        <v>8</v>
      </c>
      <c r="E38">
        <v>4</v>
      </c>
      <c r="F38">
        <v>0</v>
      </c>
      <c r="I38" s="5" t="s">
        <v>78</v>
      </c>
      <c r="J38" s="1">
        <v>11</v>
      </c>
      <c r="L38" t="str">
        <v>Lecce</v>
      </c>
      <c r="M38">
        <f>COUNTIF(Scorers2026[Team],L38)</f>
        <v>11</v>
      </c>
    </row>
    <row r="39" spans="1:13" x14ac:dyDescent="0.3">
      <c r="A39">
        <v>37</v>
      </c>
      <c r="B39" s="1" t="s">
        <v>63</v>
      </c>
      <c r="C39" s="1" t="s">
        <v>12</v>
      </c>
      <c r="D39" s="1" t="s">
        <v>14</v>
      </c>
      <c r="E39">
        <v>4</v>
      </c>
      <c r="F39">
        <v>0</v>
      </c>
      <c r="I39" s="5" t="s">
        <v>16</v>
      </c>
      <c r="J39" s="1">
        <v>14</v>
      </c>
      <c r="L39" t="str">
        <v>Milan</v>
      </c>
      <c r="M39">
        <f>COUNTIF(Scorers2026[Team],L39)</f>
        <v>14</v>
      </c>
    </row>
    <row r="40" spans="1:13" x14ac:dyDescent="0.3">
      <c r="A40">
        <v>37</v>
      </c>
      <c r="B40" s="1" t="s">
        <v>64</v>
      </c>
      <c r="C40" s="1" t="s">
        <v>10</v>
      </c>
      <c r="D40" s="1" t="s">
        <v>14</v>
      </c>
      <c r="E40">
        <v>4</v>
      </c>
      <c r="F40">
        <v>0</v>
      </c>
      <c r="I40" s="5" t="s">
        <v>12</v>
      </c>
      <c r="J40" s="1">
        <v>17</v>
      </c>
      <c r="L40" t="str">
        <v>Napoli</v>
      </c>
      <c r="M40">
        <f>COUNTIF(Scorers2026[Team],L40)</f>
        <v>17</v>
      </c>
    </row>
    <row r="41" spans="1:13" x14ac:dyDescent="0.3">
      <c r="A41">
        <v>37</v>
      </c>
      <c r="B41" s="1" t="s">
        <v>65</v>
      </c>
      <c r="C41" s="1" t="s">
        <v>12</v>
      </c>
      <c r="D41" s="1" t="s">
        <v>14</v>
      </c>
      <c r="E41">
        <v>4</v>
      </c>
      <c r="F41">
        <v>3</v>
      </c>
      <c r="I41" s="5" t="s">
        <v>31</v>
      </c>
      <c r="J41" s="1">
        <v>7</v>
      </c>
      <c r="L41" t="str">
        <v>Parma</v>
      </c>
      <c r="M41">
        <f>COUNTIF(Scorers2026[Team],L41)</f>
        <v>7</v>
      </c>
    </row>
    <row r="42" spans="1:13" x14ac:dyDescent="0.3">
      <c r="A42">
        <v>37</v>
      </c>
      <c r="B42" s="1" t="s">
        <v>66</v>
      </c>
      <c r="C42" s="1" t="s">
        <v>7</v>
      </c>
      <c r="D42" s="1" t="s">
        <v>8</v>
      </c>
      <c r="E42">
        <v>4</v>
      </c>
      <c r="F42">
        <v>0</v>
      </c>
      <c r="I42" s="5" t="s">
        <v>55</v>
      </c>
      <c r="J42" s="1">
        <v>10</v>
      </c>
      <c r="L42" t="str">
        <v>Pisa</v>
      </c>
      <c r="M42">
        <f>COUNTIF(Scorers2026[Team],L42)</f>
        <v>10</v>
      </c>
    </row>
    <row r="43" spans="1:13" x14ac:dyDescent="0.3">
      <c r="A43">
        <v>37</v>
      </c>
      <c r="B43" s="1" t="s">
        <v>67</v>
      </c>
      <c r="C43" s="1" t="s">
        <v>24</v>
      </c>
      <c r="D43" s="1" t="s">
        <v>8</v>
      </c>
      <c r="E43">
        <v>4</v>
      </c>
      <c r="F43">
        <v>3</v>
      </c>
      <c r="I43" s="5" t="s">
        <v>41</v>
      </c>
      <c r="J43" s="1">
        <v>11</v>
      </c>
      <c r="L43" t="str">
        <v>Roma</v>
      </c>
      <c r="M43">
        <f>COUNTIF(Scorers2026[Team],L43)</f>
        <v>11</v>
      </c>
    </row>
    <row r="44" spans="1:13" x14ac:dyDescent="0.3">
      <c r="A44">
        <v>37</v>
      </c>
      <c r="B44" s="1" t="s">
        <v>68</v>
      </c>
      <c r="C44" s="1" t="s">
        <v>69</v>
      </c>
      <c r="D44" s="1" t="s">
        <v>8</v>
      </c>
      <c r="E44">
        <v>4</v>
      </c>
      <c r="F44">
        <v>0</v>
      </c>
      <c r="I44" s="5" t="s">
        <v>45</v>
      </c>
      <c r="J44" s="1">
        <v>11</v>
      </c>
      <c r="L44" t="str">
        <v>Sassuolo</v>
      </c>
      <c r="M44">
        <f>COUNTIF(Scorers2026[Team],L44)</f>
        <v>11</v>
      </c>
    </row>
    <row r="45" spans="1:13" x14ac:dyDescent="0.3">
      <c r="A45">
        <v>37</v>
      </c>
      <c r="B45" s="1" t="s">
        <v>70</v>
      </c>
      <c r="C45" s="1" t="s">
        <v>45</v>
      </c>
      <c r="D45" s="1" t="s">
        <v>14</v>
      </c>
      <c r="E45">
        <v>4</v>
      </c>
      <c r="F45">
        <v>0</v>
      </c>
      <c r="I45" s="5" t="s">
        <v>43</v>
      </c>
      <c r="J45" s="1">
        <v>10</v>
      </c>
      <c r="L45" t="str">
        <v>Torino</v>
      </c>
      <c r="M45">
        <f>COUNTIF(Scorers2026[Team],L45)</f>
        <v>10</v>
      </c>
    </row>
    <row r="46" spans="1:13" x14ac:dyDescent="0.3">
      <c r="A46">
        <v>37</v>
      </c>
      <c r="B46" s="1" t="s">
        <v>71</v>
      </c>
      <c r="C46" s="1" t="s">
        <v>45</v>
      </c>
      <c r="D46" s="1" t="s">
        <v>8</v>
      </c>
      <c r="E46">
        <v>4</v>
      </c>
      <c r="F46">
        <v>0</v>
      </c>
      <c r="I46" s="5" t="s">
        <v>22</v>
      </c>
      <c r="J46" s="1">
        <v>12</v>
      </c>
      <c r="L46" t="str">
        <v>Udinese</v>
      </c>
      <c r="M46">
        <f>COUNTIF(Scorers2026[Team],L46)</f>
        <v>12</v>
      </c>
    </row>
    <row r="47" spans="1:13" x14ac:dyDescent="0.3">
      <c r="A47">
        <v>37</v>
      </c>
      <c r="B47" s="1" t="s">
        <v>72</v>
      </c>
      <c r="C47" s="1" t="s">
        <v>18</v>
      </c>
      <c r="D47" s="1" t="s">
        <v>14</v>
      </c>
      <c r="E47">
        <v>4</v>
      </c>
      <c r="F47">
        <v>0</v>
      </c>
      <c r="I47" s="5" t="s">
        <v>284</v>
      </c>
      <c r="J47" s="1">
        <v>245</v>
      </c>
    </row>
    <row r="48" spans="1:13" x14ac:dyDescent="0.3">
      <c r="A48">
        <v>37</v>
      </c>
      <c r="B48" s="1" t="s">
        <v>73</v>
      </c>
      <c r="C48" s="1" t="s">
        <v>20</v>
      </c>
      <c r="D48" s="1" t="s">
        <v>8</v>
      </c>
      <c r="E48">
        <v>4</v>
      </c>
      <c r="F48">
        <v>0</v>
      </c>
    </row>
    <row r="49" spans="1:10" x14ac:dyDescent="0.3">
      <c r="A49">
        <v>37</v>
      </c>
      <c r="B49" s="1" t="s">
        <v>74</v>
      </c>
      <c r="C49" s="1" t="s">
        <v>16</v>
      </c>
      <c r="D49" s="1" t="s">
        <v>14</v>
      </c>
      <c r="E49">
        <v>4</v>
      </c>
      <c r="F49">
        <v>0</v>
      </c>
      <c r="I49" s="2" t="s">
        <v>294</v>
      </c>
      <c r="J49" s="2"/>
    </row>
    <row r="50" spans="1:10" ht="15" thickBot="1" x14ac:dyDescent="0.35">
      <c r="A50">
        <v>37</v>
      </c>
      <c r="B50" s="1" t="s">
        <v>75</v>
      </c>
      <c r="C50" s="1" t="s">
        <v>36</v>
      </c>
      <c r="D50" s="1" t="s">
        <v>51</v>
      </c>
      <c r="E50">
        <v>4</v>
      </c>
      <c r="F50">
        <v>0</v>
      </c>
      <c r="I50" s="3" t="s">
        <v>296</v>
      </c>
      <c r="J50" s="3" t="s">
        <v>297</v>
      </c>
    </row>
    <row r="51" spans="1:10" ht="15" thickBot="1" x14ac:dyDescent="0.35">
      <c r="A51">
        <v>50</v>
      </c>
      <c r="B51" s="1" t="s">
        <v>76</v>
      </c>
      <c r="C51" s="1" t="s">
        <v>10</v>
      </c>
      <c r="D51" s="1" t="s">
        <v>8</v>
      </c>
      <c r="E51">
        <v>3</v>
      </c>
      <c r="F51">
        <v>0</v>
      </c>
      <c r="I51" s="7" t="s">
        <v>298</v>
      </c>
      <c r="J51" s="6">
        <f>COUNTIFS(Scorers2026[Goals],"&gt;="&amp;1,Scorers2026[Goals],"&lt;"&amp;3)</f>
        <v>166</v>
      </c>
    </row>
    <row r="52" spans="1:10" ht="15" thickBot="1" x14ac:dyDescent="0.35">
      <c r="A52">
        <v>50</v>
      </c>
      <c r="B52" s="1" t="s">
        <v>77</v>
      </c>
      <c r="C52" s="1" t="s">
        <v>78</v>
      </c>
      <c r="D52" s="1" t="s">
        <v>14</v>
      </c>
      <c r="E52">
        <v>3</v>
      </c>
      <c r="F52">
        <v>0</v>
      </c>
      <c r="I52" s="7" t="s">
        <v>299</v>
      </c>
      <c r="J52" s="6">
        <f>COUNTIFS(Scorers2026[Goals],"&gt;="&amp;3,Scorers2026[Goals],"&lt;"&amp;5)</f>
        <v>43</v>
      </c>
    </row>
    <row r="53" spans="1:10" ht="15" thickBot="1" x14ac:dyDescent="0.35">
      <c r="A53">
        <v>50</v>
      </c>
      <c r="B53" s="1" t="s">
        <v>79</v>
      </c>
      <c r="C53" s="1" t="s">
        <v>31</v>
      </c>
      <c r="D53" s="1" t="s">
        <v>14</v>
      </c>
      <c r="E53">
        <v>3</v>
      </c>
      <c r="F53">
        <v>0</v>
      </c>
      <c r="I53" s="7" t="s">
        <v>300</v>
      </c>
      <c r="J53" s="6">
        <f>COUNTIFS(Scorers2026[Goals],"&gt;="&amp;5,Scorers2026[Goals],"&lt;"&amp;7)</f>
        <v>20</v>
      </c>
    </row>
    <row r="54" spans="1:10" ht="15" thickBot="1" x14ac:dyDescent="0.35">
      <c r="A54">
        <v>50</v>
      </c>
      <c r="B54" s="1" t="s">
        <v>80</v>
      </c>
      <c r="C54" s="1" t="s">
        <v>69</v>
      </c>
      <c r="D54" s="1" t="s">
        <v>8</v>
      </c>
      <c r="E54">
        <v>3</v>
      </c>
      <c r="F54">
        <v>0</v>
      </c>
      <c r="I54" s="7" t="s">
        <v>301</v>
      </c>
      <c r="J54" s="6">
        <f>COUNTIFS(Scorers2026[Goals],"&gt;="&amp;7,Scorers2026[Goals],"&lt;"&amp;9)</f>
        <v>15</v>
      </c>
    </row>
    <row r="55" spans="1:10" ht="15" thickBot="1" x14ac:dyDescent="0.35">
      <c r="A55">
        <v>50</v>
      </c>
      <c r="B55" s="1" t="s">
        <v>81</v>
      </c>
      <c r="C55" s="1" t="s">
        <v>20</v>
      </c>
      <c r="D55" s="1" t="s">
        <v>8</v>
      </c>
      <c r="E55">
        <v>3</v>
      </c>
      <c r="F55">
        <v>0</v>
      </c>
      <c r="I55" s="7" t="s">
        <v>302</v>
      </c>
      <c r="J55" s="6">
        <f>COUNTIFS(Scorers2026[Goals],"&gt;="&amp;9,Scorers2026[Goals],"&lt;"&amp;11)</f>
        <v>0</v>
      </c>
    </row>
    <row r="56" spans="1:10" ht="15" thickBot="1" x14ac:dyDescent="0.35">
      <c r="A56">
        <v>50</v>
      </c>
      <c r="B56" s="1" t="s">
        <v>82</v>
      </c>
      <c r="C56" s="1" t="s">
        <v>83</v>
      </c>
      <c r="D56" s="1" t="s">
        <v>8</v>
      </c>
      <c r="E56">
        <v>3</v>
      </c>
      <c r="F56">
        <v>0</v>
      </c>
      <c r="I56" s="7" t="s">
        <v>303</v>
      </c>
      <c r="J56" s="6">
        <f>COUNTIFS(Scorers2026[Goals],"&gt;="&amp;11,Scorers2026[Goals],"&lt;"&amp;13)</f>
        <v>0</v>
      </c>
    </row>
    <row r="57" spans="1:10" ht="15" thickBot="1" x14ac:dyDescent="0.35">
      <c r="A57">
        <v>50</v>
      </c>
      <c r="B57" s="1" t="s">
        <v>84</v>
      </c>
      <c r="C57" s="1" t="s">
        <v>36</v>
      </c>
      <c r="D57" s="1" t="s">
        <v>8</v>
      </c>
      <c r="E57">
        <v>3</v>
      </c>
      <c r="F57">
        <v>0</v>
      </c>
      <c r="I57" s="7" t="s">
        <v>295</v>
      </c>
      <c r="J57" s="6">
        <f>COUNTIFS(Scorers2026[Goals],"&gt;="&amp;13,Scorers2026[Goals],"&lt;"&amp;15)</f>
        <v>1</v>
      </c>
    </row>
    <row r="58" spans="1:10" x14ac:dyDescent="0.3">
      <c r="A58">
        <v>50</v>
      </c>
      <c r="B58" s="1" t="s">
        <v>85</v>
      </c>
      <c r="C58" s="1" t="s">
        <v>43</v>
      </c>
      <c r="D58" s="1" t="s">
        <v>14</v>
      </c>
      <c r="E58">
        <v>3</v>
      </c>
      <c r="F58">
        <v>0</v>
      </c>
    </row>
    <row r="59" spans="1:10" x14ac:dyDescent="0.3">
      <c r="A59">
        <v>50</v>
      </c>
      <c r="B59" s="1" t="s">
        <v>86</v>
      </c>
      <c r="C59" s="1" t="s">
        <v>83</v>
      </c>
      <c r="D59" s="1" t="s">
        <v>14</v>
      </c>
      <c r="E59">
        <v>3</v>
      </c>
      <c r="F59">
        <v>2</v>
      </c>
    </row>
    <row r="60" spans="1:10" x14ac:dyDescent="0.3">
      <c r="A60">
        <v>50</v>
      </c>
      <c r="B60" s="1" t="s">
        <v>87</v>
      </c>
      <c r="C60" s="1" t="s">
        <v>26</v>
      </c>
      <c r="D60" s="1" t="s">
        <v>8</v>
      </c>
      <c r="E60">
        <v>3</v>
      </c>
      <c r="F60">
        <v>0</v>
      </c>
    </row>
    <row r="61" spans="1:10" x14ac:dyDescent="0.3">
      <c r="A61">
        <v>50</v>
      </c>
      <c r="B61" s="1" t="s">
        <v>88</v>
      </c>
      <c r="C61" s="1" t="s">
        <v>41</v>
      </c>
      <c r="D61" s="1" t="s">
        <v>8</v>
      </c>
      <c r="E61">
        <v>3</v>
      </c>
      <c r="F61">
        <v>0</v>
      </c>
    </row>
    <row r="62" spans="1:10" x14ac:dyDescent="0.3">
      <c r="A62">
        <v>50</v>
      </c>
      <c r="B62" s="1" t="s">
        <v>89</v>
      </c>
      <c r="C62" s="1" t="s">
        <v>22</v>
      </c>
      <c r="D62" s="1" t="s">
        <v>14</v>
      </c>
      <c r="E62">
        <v>3</v>
      </c>
      <c r="F62">
        <v>0</v>
      </c>
    </row>
    <row r="63" spans="1:10" x14ac:dyDescent="0.3">
      <c r="A63">
        <v>50</v>
      </c>
      <c r="B63" s="1" t="s">
        <v>90</v>
      </c>
      <c r="C63" s="1" t="s">
        <v>69</v>
      </c>
      <c r="D63" s="1" t="s">
        <v>8</v>
      </c>
      <c r="E63">
        <v>3</v>
      </c>
      <c r="F63">
        <v>0</v>
      </c>
    </row>
    <row r="64" spans="1:10" x14ac:dyDescent="0.3">
      <c r="A64">
        <v>50</v>
      </c>
      <c r="B64" s="1" t="s">
        <v>91</v>
      </c>
      <c r="C64" s="1" t="s">
        <v>41</v>
      </c>
      <c r="D64" s="1" t="s">
        <v>8</v>
      </c>
      <c r="E64">
        <v>3</v>
      </c>
      <c r="F64">
        <v>0</v>
      </c>
    </row>
    <row r="65" spans="1:6" x14ac:dyDescent="0.3">
      <c r="A65">
        <v>50</v>
      </c>
      <c r="B65" s="1" t="s">
        <v>92</v>
      </c>
      <c r="C65" s="1" t="s">
        <v>41</v>
      </c>
      <c r="D65" s="1" t="s">
        <v>51</v>
      </c>
      <c r="E65">
        <v>3</v>
      </c>
      <c r="F65">
        <v>0</v>
      </c>
    </row>
    <row r="66" spans="1:6" x14ac:dyDescent="0.3">
      <c r="A66">
        <v>50</v>
      </c>
      <c r="B66" s="1" t="s">
        <v>93</v>
      </c>
      <c r="C66" s="1" t="s">
        <v>83</v>
      </c>
      <c r="D66" s="1" t="s">
        <v>8</v>
      </c>
      <c r="E66">
        <v>3</v>
      </c>
      <c r="F66">
        <v>0</v>
      </c>
    </row>
    <row r="67" spans="1:6" x14ac:dyDescent="0.3">
      <c r="A67">
        <v>50</v>
      </c>
      <c r="B67" s="1" t="s">
        <v>94</v>
      </c>
      <c r="C67" s="1" t="s">
        <v>10</v>
      </c>
      <c r="D67" s="1" t="s">
        <v>51</v>
      </c>
      <c r="E67">
        <v>3</v>
      </c>
      <c r="F67">
        <v>0</v>
      </c>
    </row>
    <row r="68" spans="1:6" x14ac:dyDescent="0.3">
      <c r="A68">
        <v>50</v>
      </c>
      <c r="B68" s="1" t="s">
        <v>95</v>
      </c>
      <c r="C68" s="1" t="s">
        <v>18</v>
      </c>
      <c r="D68" s="1" t="s">
        <v>14</v>
      </c>
      <c r="E68">
        <v>3</v>
      </c>
      <c r="F68">
        <v>0</v>
      </c>
    </row>
    <row r="69" spans="1:6" x14ac:dyDescent="0.3">
      <c r="A69">
        <v>50</v>
      </c>
      <c r="B69" s="1" t="s">
        <v>96</v>
      </c>
      <c r="C69" s="1" t="s">
        <v>16</v>
      </c>
      <c r="D69" s="1" t="s">
        <v>14</v>
      </c>
      <c r="E69">
        <v>3</v>
      </c>
      <c r="F69">
        <v>0</v>
      </c>
    </row>
    <row r="70" spans="1:6" x14ac:dyDescent="0.3">
      <c r="A70">
        <v>50</v>
      </c>
      <c r="B70" s="1" t="s">
        <v>97</v>
      </c>
      <c r="C70" s="1" t="s">
        <v>12</v>
      </c>
      <c r="D70" s="1" t="s">
        <v>8</v>
      </c>
      <c r="E70">
        <v>3</v>
      </c>
      <c r="F70">
        <v>0</v>
      </c>
    </row>
    <row r="71" spans="1:6" x14ac:dyDescent="0.3">
      <c r="A71">
        <v>50</v>
      </c>
      <c r="B71" s="1" t="s">
        <v>98</v>
      </c>
      <c r="C71" s="1" t="s">
        <v>45</v>
      </c>
      <c r="D71" s="1" t="s">
        <v>8</v>
      </c>
      <c r="E71">
        <v>3</v>
      </c>
      <c r="F71">
        <v>2</v>
      </c>
    </row>
    <row r="72" spans="1:6" x14ac:dyDescent="0.3">
      <c r="A72">
        <v>50</v>
      </c>
      <c r="B72" s="1" t="s">
        <v>99</v>
      </c>
      <c r="C72" s="1" t="s">
        <v>41</v>
      </c>
      <c r="D72" s="1" t="s">
        <v>14</v>
      </c>
      <c r="E72">
        <v>3</v>
      </c>
      <c r="F72">
        <v>2</v>
      </c>
    </row>
    <row r="73" spans="1:6" x14ac:dyDescent="0.3">
      <c r="A73">
        <v>50</v>
      </c>
      <c r="B73" s="1" t="s">
        <v>100</v>
      </c>
      <c r="C73" s="1" t="s">
        <v>83</v>
      </c>
      <c r="D73" s="1" t="s">
        <v>8</v>
      </c>
      <c r="E73">
        <v>3</v>
      </c>
      <c r="F73">
        <v>2</v>
      </c>
    </row>
    <row r="74" spans="1:6" x14ac:dyDescent="0.3">
      <c r="A74">
        <v>50</v>
      </c>
      <c r="B74" s="1" t="s">
        <v>101</v>
      </c>
      <c r="C74" s="1" t="s">
        <v>12</v>
      </c>
      <c r="D74" s="1" t="s">
        <v>8</v>
      </c>
      <c r="E74">
        <v>3</v>
      </c>
      <c r="F74">
        <v>0</v>
      </c>
    </row>
    <row r="75" spans="1:6" x14ac:dyDescent="0.3">
      <c r="A75">
        <v>50</v>
      </c>
      <c r="B75" s="1" t="s">
        <v>102</v>
      </c>
      <c r="C75" s="1" t="s">
        <v>18</v>
      </c>
      <c r="D75" s="1" t="s">
        <v>51</v>
      </c>
      <c r="E75">
        <v>3</v>
      </c>
      <c r="F75">
        <v>0</v>
      </c>
    </row>
    <row r="76" spans="1:6" x14ac:dyDescent="0.3">
      <c r="A76">
        <v>50</v>
      </c>
      <c r="B76" s="1" t="s">
        <v>103</v>
      </c>
      <c r="C76" s="1" t="s">
        <v>22</v>
      </c>
      <c r="D76" s="1" t="s">
        <v>51</v>
      </c>
      <c r="E76">
        <v>3</v>
      </c>
      <c r="F76">
        <v>1</v>
      </c>
    </row>
    <row r="77" spans="1:6" x14ac:dyDescent="0.3">
      <c r="A77">
        <v>50</v>
      </c>
      <c r="B77" s="1" t="s">
        <v>104</v>
      </c>
      <c r="C77" s="1" t="s">
        <v>12</v>
      </c>
      <c r="D77" s="1" t="s">
        <v>51</v>
      </c>
      <c r="E77">
        <v>3</v>
      </c>
      <c r="F77">
        <v>0</v>
      </c>
    </row>
    <row r="78" spans="1:6" x14ac:dyDescent="0.3">
      <c r="A78">
        <v>50</v>
      </c>
      <c r="B78" s="1" t="s">
        <v>105</v>
      </c>
      <c r="C78" s="1" t="s">
        <v>47</v>
      </c>
      <c r="D78" s="1" t="s">
        <v>14</v>
      </c>
      <c r="E78">
        <v>3</v>
      </c>
      <c r="F78">
        <v>0</v>
      </c>
    </row>
    <row r="79" spans="1:6" x14ac:dyDescent="0.3">
      <c r="A79">
        <v>50</v>
      </c>
      <c r="B79" s="1" t="s">
        <v>106</v>
      </c>
      <c r="C79" s="1" t="s">
        <v>18</v>
      </c>
      <c r="D79" s="1" t="s">
        <v>8</v>
      </c>
      <c r="E79">
        <v>3</v>
      </c>
      <c r="F79">
        <v>1</v>
      </c>
    </row>
    <row r="80" spans="1:6" x14ac:dyDescent="0.3">
      <c r="A80">
        <v>50</v>
      </c>
      <c r="B80" s="1" t="s">
        <v>107</v>
      </c>
      <c r="C80" s="1" t="s">
        <v>83</v>
      </c>
      <c r="D80" s="1" t="s">
        <v>14</v>
      </c>
      <c r="E80">
        <v>3</v>
      </c>
      <c r="F80">
        <v>0</v>
      </c>
    </row>
    <row r="81" spans="1:6" x14ac:dyDescent="0.3">
      <c r="A81">
        <v>80</v>
      </c>
      <c r="B81" s="1" t="s">
        <v>108</v>
      </c>
      <c r="C81" s="1" t="s">
        <v>22</v>
      </c>
      <c r="D81" s="1" t="s">
        <v>14</v>
      </c>
      <c r="E81">
        <v>2</v>
      </c>
      <c r="F81">
        <v>0</v>
      </c>
    </row>
    <row r="82" spans="1:6" x14ac:dyDescent="0.3">
      <c r="A82">
        <v>80</v>
      </c>
      <c r="B82" s="1" t="s">
        <v>109</v>
      </c>
      <c r="C82" s="1" t="s">
        <v>16</v>
      </c>
      <c r="D82" s="1" t="s">
        <v>51</v>
      </c>
      <c r="E82">
        <v>2</v>
      </c>
      <c r="F82">
        <v>0</v>
      </c>
    </row>
    <row r="83" spans="1:6" x14ac:dyDescent="0.3">
      <c r="A83">
        <v>80</v>
      </c>
      <c r="B83" s="1" t="s">
        <v>110</v>
      </c>
      <c r="C83" s="1" t="s">
        <v>47</v>
      </c>
      <c r="D83" s="1" t="s">
        <v>51</v>
      </c>
      <c r="E83">
        <v>2</v>
      </c>
      <c r="F83">
        <v>0</v>
      </c>
    </row>
    <row r="84" spans="1:6" x14ac:dyDescent="0.3">
      <c r="A84">
        <v>80</v>
      </c>
      <c r="B84" s="1" t="s">
        <v>111</v>
      </c>
      <c r="C84" s="1" t="s">
        <v>28</v>
      </c>
      <c r="D84" s="1" t="s">
        <v>51</v>
      </c>
      <c r="E84">
        <v>2</v>
      </c>
      <c r="F84">
        <v>0</v>
      </c>
    </row>
    <row r="85" spans="1:6" x14ac:dyDescent="0.3">
      <c r="A85">
        <v>80</v>
      </c>
      <c r="B85" s="1" t="s">
        <v>112</v>
      </c>
      <c r="C85" s="1" t="s">
        <v>69</v>
      </c>
      <c r="D85" s="1" t="s">
        <v>8</v>
      </c>
      <c r="E85">
        <v>2</v>
      </c>
      <c r="F85">
        <v>1</v>
      </c>
    </row>
    <row r="86" spans="1:6" x14ac:dyDescent="0.3">
      <c r="A86">
        <v>80</v>
      </c>
      <c r="B86" s="1" t="s">
        <v>113</v>
      </c>
      <c r="C86" s="1" t="s">
        <v>78</v>
      </c>
      <c r="D86" s="1" t="s">
        <v>14</v>
      </c>
      <c r="E86">
        <v>2</v>
      </c>
      <c r="F86">
        <v>0</v>
      </c>
    </row>
    <row r="87" spans="1:6" x14ac:dyDescent="0.3">
      <c r="A87">
        <v>80</v>
      </c>
      <c r="B87" s="1" t="s">
        <v>114</v>
      </c>
      <c r="C87" s="1" t="s">
        <v>7</v>
      </c>
      <c r="D87" s="1" t="s">
        <v>51</v>
      </c>
      <c r="E87">
        <v>2</v>
      </c>
      <c r="F87">
        <v>0</v>
      </c>
    </row>
    <row r="88" spans="1:6" x14ac:dyDescent="0.3">
      <c r="A88">
        <v>80</v>
      </c>
      <c r="B88" s="1" t="s">
        <v>115</v>
      </c>
      <c r="C88" s="1" t="s">
        <v>24</v>
      </c>
      <c r="D88" s="1" t="s">
        <v>14</v>
      </c>
      <c r="E88">
        <v>2</v>
      </c>
      <c r="F88">
        <v>0</v>
      </c>
    </row>
    <row r="89" spans="1:6" x14ac:dyDescent="0.3">
      <c r="A89">
        <v>80</v>
      </c>
      <c r="B89" s="1" t="s">
        <v>116</v>
      </c>
      <c r="C89" s="1" t="s">
        <v>18</v>
      </c>
      <c r="D89" s="1" t="s">
        <v>51</v>
      </c>
      <c r="E89">
        <v>2</v>
      </c>
      <c r="F89">
        <v>0</v>
      </c>
    </row>
    <row r="90" spans="1:6" x14ac:dyDescent="0.3">
      <c r="A90">
        <v>80</v>
      </c>
      <c r="B90" s="1" t="s">
        <v>117</v>
      </c>
      <c r="C90" s="1" t="s">
        <v>18</v>
      </c>
      <c r="D90" s="1" t="s">
        <v>51</v>
      </c>
      <c r="E90">
        <v>2</v>
      </c>
      <c r="F90">
        <v>0</v>
      </c>
    </row>
    <row r="91" spans="1:6" x14ac:dyDescent="0.3">
      <c r="A91">
        <v>80</v>
      </c>
      <c r="B91" s="1" t="s">
        <v>118</v>
      </c>
      <c r="C91" s="1" t="s">
        <v>83</v>
      </c>
      <c r="D91" s="1" t="s">
        <v>8</v>
      </c>
      <c r="E91">
        <v>2</v>
      </c>
      <c r="F91">
        <v>0</v>
      </c>
    </row>
    <row r="92" spans="1:6" x14ac:dyDescent="0.3">
      <c r="A92">
        <v>80</v>
      </c>
      <c r="B92" s="1" t="s">
        <v>119</v>
      </c>
      <c r="C92" s="1" t="s">
        <v>78</v>
      </c>
      <c r="D92" s="1" t="s">
        <v>14</v>
      </c>
      <c r="E92">
        <v>2</v>
      </c>
      <c r="F92">
        <v>0</v>
      </c>
    </row>
    <row r="93" spans="1:6" x14ac:dyDescent="0.3">
      <c r="A93">
        <v>80</v>
      </c>
      <c r="B93" s="1" t="s">
        <v>120</v>
      </c>
      <c r="C93" s="1" t="s">
        <v>41</v>
      </c>
      <c r="D93" s="1" t="s">
        <v>8</v>
      </c>
      <c r="E93">
        <v>2</v>
      </c>
      <c r="F93">
        <v>0</v>
      </c>
    </row>
    <row r="94" spans="1:6" x14ac:dyDescent="0.3">
      <c r="A94">
        <v>80</v>
      </c>
      <c r="B94" s="1" t="s">
        <v>121</v>
      </c>
      <c r="C94" s="1" t="s">
        <v>36</v>
      </c>
      <c r="D94" s="1" t="s">
        <v>8</v>
      </c>
      <c r="E94">
        <v>2</v>
      </c>
      <c r="F94">
        <v>0</v>
      </c>
    </row>
    <row r="95" spans="1:6" x14ac:dyDescent="0.3">
      <c r="A95">
        <v>80</v>
      </c>
      <c r="B95" s="1" t="s">
        <v>122</v>
      </c>
      <c r="C95" s="1" t="s">
        <v>36</v>
      </c>
      <c r="D95" s="1" t="s">
        <v>8</v>
      </c>
      <c r="E95">
        <v>2</v>
      </c>
      <c r="F95">
        <v>0</v>
      </c>
    </row>
    <row r="96" spans="1:6" x14ac:dyDescent="0.3">
      <c r="A96">
        <v>80</v>
      </c>
      <c r="B96" s="1" t="s">
        <v>123</v>
      </c>
      <c r="C96" s="1" t="s">
        <v>24</v>
      </c>
      <c r="D96" s="1" t="s">
        <v>14</v>
      </c>
      <c r="E96">
        <v>2</v>
      </c>
      <c r="F96">
        <v>0</v>
      </c>
    </row>
    <row r="97" spans="1:6" x14ac:dyDescent="0.3">
      <c r="A97">
        <v>80</v>
      </c>
      <c r="B97" s="1" t="s">
        <v>124</v>
      </c>
      <c r="C97" s="1" t="s">
        <v>45</v>
      </c>
      <c r="D97" s="1" t="s">
        <v>8</v>
      </c>
      <c r="E97">
        <v>2</v>
      </c>
      <c r="F97">
        <v>0</v>
      </c>
    </row>
    <row r="98" spans="1:6" x14ac:dyDescent="0.3">
      <c r="A98">
        <v>80</v>
      </c>
      <c r="B98" s="1" t="s">
        <v>125</v>
      </c>
      <c r="C98" s="1" t="s">
        <v>69</v>
      </c>
      <c r="D98" s="1" t="s">
        <v>8</v>
      </c>
      <c r="E98">
        <v>2</v>
      </c>
      <c r="F98">
        <v>0</v>
      </c>
    </row>
    <row r="99" spans="1:6" x14ac:dyDescent="0.3">
      <c r="A99">
        <v>80</v>
      </c>
      <c r="B99" s="1" t="s">
        <v>126</v>
      </c>
      <c r="C99" s="1" t="s">
        <v>18</v>
      </c>
      <c r="D99" s="1" t="s">
        <v>8</v>
      </c>
      <c r="E99">
        <v>2</v>
      </c>
      <c r="F99">
        <v>0</v>
      </c>
    </row>
    <row r="100" spans="1:6" x14ac:dyDescent="0.3">
      <c r="A100">
        <v>80</v>
      </c>
      <c r="B100" s="1" t="s">
        <v>127</v>
      </c>
      <c r="C100" s="1" t="s">
        <v>69</v>
      </c>
      <c r="D100" s="1" t="s">
        <v>14</v>
      </c>
      <c r="E100">
        <v>2</v>
      </c>
      <c r="F100">
        <v>0</v>
      </c>
    </row>
    <row r="101" spans="1:6" x14ac:dyDescent="0.3">
      <c r="A101">
        <v>80</v>
      </c>
      <c r="B101" s="1" t="s">
        <v>128</v>
      </c>
      <c r="C101" s="1" t="s">
        <v>78</v>
      </c>
      <c r="D101" s="1" t="s">
        <v>14</v>
      </c>
      <c r="E101">
        <v>2</v>
      </c>
      <c r="F101">
        <v>0</v>
      </c>
    </row>
    <row r="102" spans="1:6" x14ac:dyDescent="0.3">
      <c r="A102">
        <v>80</v>
      </c>
      <c r="B102" s="1" t="s">
        <v>129</v>
      </c>
      <c r="C102" s="1" t="s">
        <v>24</v>
      </c>
      <c r="D102" s="1" t="s">
        <v>51</v>
      </c>
      <c r="E102">
        <v>2</v>
      </c>
      <c r="F102">
        <v>0</v>
      </c>
    </row>
    <row r="103" spans="1:6" x14ac:dyDescent="0.3">
      <c r="A103">
        <v>80</v>
      </c>
      <c r="B103" s="1" t="s">
        <v>130</v>
      </c>
      <c r="C103" s="1" t="s">
        <v>83</v>
      </c>
      <c r="D103" s="1" t="s">
        <v>14</v>
      </c>
      <c r="E103">
        <v>2</v>
      </c>
      <c r="F103">
        <v>0</v>
      </c>
    </row>
    <row r="104" spans="1:6" x14ac:dyDescent="0.3">
      <c r="A104">
        <v>80</v>
      </c>
      <c r="B104" s="1" t="s">
        <v>131</v>
      </c>
      <c r="C104" s="1" t="s">
        <v>69</v>
      </c>
      <c r="D104" s="1" t="s">
        <v>51</v>
      </c>
      <c r="E104">
        <v>2</v>
      </c>
      <c r="F104">
        <v>0</v>
      </c>
    </row>
    <row r="105" spans="1:6" x14ac:dyDescent="0.3">
      <c r="A105">
        <v>80</v>
      </c>
      <c r="B105" s="1" t="s">
        <v>132</v>
      </c>
      <c r="C105" s="1" t="s">
        <v>22</v>
      </c>
      <c r="D105" s="1" t="s">
        <v>51</v>
      </c>
      <c r="E105">
        <v>2</v>
      </c>
      <c r="F105">
        <v>0</v>
      </c>
    </row>
    <row r="106" spans="1:6" x14ac:dyDescent="0.3">
      <c r="A106">
        <v>80</v>
      </c>
      <c r="B106" s="1" t="s">
        <v>133</v>
      </c>
      <c r="C106" s="1" t="s">
        <v>18</v>
      </c>
      <c r="D106" s="1" t="s">
        <v>51</v>
      </c>
      <c r="E106">
        <v>2</v>
      </c>
      <c r="F106">
        <v>0</v>
      </c>
    </row>
    <row r="107" spans="1:6" x14ac:dyDescent="0.3">
      <c r="A107">
        <v>80</v>
      </c>
      <c r="B107" s="1" t="s">
        <v>134</v>
      </c>
      <c r="C107" s="1" t="s">
        <v>41</v>
      </c>
      <c r="D107" s="1" t="s">
        <v>14</v>
      </c>
      <c r="E107">
        <v>2</v>
      </c>
      <c r="F107">
        <v>0</v>
      </c>
    </row>
    <row r="108" spans="1:6" x14ac:dyDescent="0.3">
      <c r="A108">
        <v>80</v>
      </c>
      <c r="B108" s="1" t="s">
        <v>135</v>
      </c>
      <c r="C108" s="1" t="s">
        <v>26</v>
      </c>
      <c r="D108" s="1" t="s">
        <v>8</v>
      </c>
      <c r="E108">
        <v>2</v>
      </c>
      <c r="F108">
        <v>0</v>
      </c>
    </row>
    <row r="109" spans="1:6" x14ac:dyDescent="0.3">
      <c r="A109">
        <v>80</v>
      </c>
      <c r="B109" s="1" t="s">
        <v>136</v>
      </c>
      <c r="C109" s="1" t="s">
        <v>43</v>
      </c>
      <c r="D109" s="1" t="s">
        <v>51</v>
      </c>
      <c r="E109">
        <v>2</v>
      </c>
      <c r="F109">
        <v>0</v>
      </c>
    </row>
    <row r="110" spans="1:6" x14ac:dyDescent="0.3">
      <c r="A110">
        <v>80</v>
      </c>
      <c r="B110" s="1" t="s">
        <v>137</v>
      </c>
      <c r="C110" s="1" t="s">
        <v>69</v>
      </c>
      <c r="D110" s="1" t="s">
        <v>14</v>
      </c>
      <c r="E110">
        <v>2</v>
      </c>
      <c r="F110">
        <v>0</v>
      </c>
    </row>
    <row r="111" spans="1:6" x14ac:dyDescent="0.3">
      <c r="A111">
        <v>80</v>
      </c>
      <c r="B111" s="1" t="s">
        <v>138</v>
      </c>
      <c r="C111" s="1" t="s">
        <v>55</v>
      </c>
      <c r="D111" s="1" t="s">
        <v>8</v>
      </c>
      <c r="E111">
        <v>2</v>
      </c>
      <c r="F111">
        <v>0</v>
      </c>
    </row>
    <row r="112" spans="1:6" x14ac:dyDescent="0.3">
      <c r="A112">
        <v>80</v>
      </c>
      <c r="B112" s="1" t="s">
        <v>139</v>
      </c>
      <c r="C112" s="1" t="s">
        <v>16</v>
      </c>
      <c r="D112" s="1" t="s">
        <v>14</v>
      </c>
      <c r="E112">
        <v>2</v>
      </c>
      <c r="F112">
        <v>0</v>
      </c>
    </row>
    <row r="113" spans="1:6" x14ac:dyDescent="0.3">
      <c r="A113">
        <v>80</v>
      </c>
      <c r="B113" s="1" t="s">
        <v>140</v>
      </c>
      <c r="C113" s="1" t="s">
        <v>20</v>
      </c>
      <c r="D113" s="1" t="s">
        <v>14</v>
      </c>
      <c r="E113">
        <v>2</v>
      </c>
      <c r="F113">
        <v>0</v>
      </c>
    </row>
    <row r="114" spans="1:6" x14ac:dyDescent="0.3">
      <c r="A114">
        <v>80</v>
      </c>
      <c r="B114" s="1" t="s">
        <v>141</v>
      </c>
      <c r="C114" s="1" t="s">
        <v>45</v>
      </c>
      <c r="D114" s="1" t="s">
        <v>51</v>
      </c>
      <c r="E114">
        <v>2</v>
      </c>
      <c r="F114">
        <v>0</v>
      </c>
    </row>
    <row r="115" spans="1:6" x14ac:dyDescent="0.3">
      <c r="A115">
        <v>80</v>
      </c>
      <c r="B115" s="1" t="s">
        <v>142</v>
      </c>
      <c r="C115" s="1" t="s">
        <v>83</v>
      </c>
      <c r="D115" s="1" t="s">
        <v>8</v>
      </c>
      <c r="E115">
        <v>2</v>
      </c>
      <c r="F115">
        <v>0</v>
      </c>
    </row>
    <row r="116" spans="1:6" x14ac:dyDescent="0.3">
      <c r="A116">
        <v>80</v>
      </c>
      <c r="B116" s="1" t="s">
        <v>143</v>
      </c>
      <c r="C116" s="1" t="s">
        <v>78</v>
      </c>
      <c r="D116" s="1" t="s">
        <v>8</v>
      </c>
      <c r="E116">
        <v>2</v>
      </c>
      <c r="F116">
        <v>0</v>
      </c>
    </row>
    <row r="117" spans="1:6" x14ac:dyDescent="0.3">
      <c r="A117">
        <v>80</v>
      </c>
      <c r="B117" s="1" t="s">
        <v>144</v>
      </c>
      <c r="C117" s="1" t="s">
        <v>26</v>
      </c>
      <c r="D117" s="1" t="s">
        <v>14</v>
      </c>
      <c r="E117">
        <v>2</v>
      </c>
      <c r="F117">
        <v>0</v>
      </c>
    </row>
    <row r="118" spans="1:6" x14ac:dyDescent="0.3">
      <c r="A118">
        <v>80</v>
      </c>
      <c r="B118" s="1" t="s">
        <v>145</v>
      </c>
      <c r="C118" s="1" t="s">
        <v>16</v>
      </c>
      <c r="D118" s="1" t="s">
        <v>51</v>
      </c>
      <c r="E118">
        <v>2</v>
      </c>
      <c r="F118">
        <v>0</v>
      </c>
    </row>
    <row r="119" spans="1:6" x14ac:dyDescent="0.3">
      <c r="A119">
        <v>80</v>
      </c>
      <c r="B119" s="1" t="s">
        <v>146</v>
      </c>
      <c r="C119" s="1" t="s">
        <v>10</v>
      </c>
      <c r="D119" s="1" t="s">
        <v>14</v>
      </c>
      <c r="E119">
        <v>2</v>
      </c>
      <c r="F119">
        <v>0</v>
      </c>
    </row>
    <row r="120" spans="1:6" x14ac:dyDescent="0.3">
      <c r="A120">
        <v>80</v>
      </c>
      <c r="B120" s="1" t="s">
        <v>147</v>
      </c>
      <c r="C120" s="1" t="s">
        <v>24</v>
      </c>
      <c r="D120" s="1" t="s">
        <v>8</v>
      </c>
      <c r="E120">
        <v>2</v>
      </c>
      <c r="F120">
        <v>0</v>
      </c>
    </row>
    <row r="121" spans="1:6" x14ac:dyDescent="0.3">
      <c r="A121">
        <v>80</v>
      </c>
      <c r="B121" s="1" t="s">
        <v>148</v>
      </c>
      <c r="C121" s="1" t="s">
        <v>20</v>
      </c>
      <c r="D121" s="1" t="s">
        <v>14</v>
      </c>
      <c r="E121">
        <v>2</v>
      </c>
      <c r="F121">
        <v>0</v>
      </c>
    </row>
    <row r="122" spans="1:6" x14ac:dyDescent="0.3">
      <c r="A122">
        <v>80</v>
      </c>
      <c r="B122" s="1" t="s">
        <v>149</v>
      </c>
      <c r="C122" s="1" t="s">
        <v>10</v>
      </c>
      <c r="D122" s="1" t="s">
        <v>51</v>
      </c>
      <c r="E122">
        <v>2</v>
      </c>
      <c r="F122">
        <v>0</v>
      </c>
    </row>
    <row r="123" spans="1:6" x14ac:dyDescent="0.3">
      <c r="A123">
        <v>80</v>
      </c>
      <c r="B123" s="1" t="s">
        <v>150</v>
      </c>
      <c r="C123" s="1" t="s">
        <v>16</v>
      </c>
      <c r="D123" s="1" t="s">
        <v>8</v>
      </c>
      <c r="E123">
        <v>2</v>
      </c>
      <c r="F123">
        <v>0</v>
      </c>
    </row>
    <row r="124" spans="1:6" x14ac:dyDescent="0.3">
      <c r="A124">
        <v>80</v>
      </c>
      <c r="B124" s="1" t="s">
        <v>151</v>
      </c>
      <c r="C124" s="1" t="s">
        <v>26</v>
      </c>
      <c r="D124" s="1" t="s">
        <v>51</v>
      </c>
      <c r="E124">
        <v>2</v>
      </c>
      <c r="F124">
        <v>0</v>
      </c>
    </row>
    <row r="125" spans="1:6" x14ac:dyDescent="0.3">
      <c r="A125">
        <v>80</v>
      </c>
      <c r="B125" s="1" t="s">
        <v>152</v>
      </c>
      <c r="C125" s="1" t="s">
        <v>28</v>
      </c>
      <c r="D125" s="1" t="s">
        <v>14</v>
      </c>
      <c r="E125">
        <v>2</v>
      </c>
      <c r="F125">
        <v>0</v>
      </c>
    </row>
    <row r="126" spans="1:6" x14ac:dyDescent="0.3">
      <c r="A126">
        <v>80</v>
      </c>
      <c r="B126" s="1" t="s">
        <v>153</v>
      </c>
      <c r="C126" s="1" t="s">
        <v>24</v>
      </c>
      <c r="D126" s="1" t="s">
        <v>8</v>
      </c>
      <c r="E126">
        <v>2</v>
      </c>
      <c r="F126">
        <v>0</v>
      </c>
    </row>
    <row r="127" spans="1:6" x14ac:dyDescent="0.3">
      <c r="A127">
        <v>80</v>
      </c>
      <c r="B127" s="1" t="s">
        <v>154</v>
      </c>
      <c r="C127" s="1" t="s">
        <v>78</v>
      </c>
      <c r="D127" s="1" t="s">
        <v>8</v>
      </c>
      <c r="E127">
        <v>2</v>
      </c>
      <c r="F127">
        <v>0</v>
      </c>
    </row>
    <row r="128" spans="1:6" x14ac:dyDescent="0.3">
      <c r="A128">
        <v>80</v>
      </c>
      <c r="B128" s="1" t="s">
        <v>155</v>
      </c>
      <c r="C128" s="1" t="s">
        <v>26</v>
      </c>
      <c r="D128" s="1" t="s">
        <v>8</v>
      </c>
      <c r="E128">
        <v>2</v>
      </c>
      <c r="F128">
        <v>0</v>
      </c>
    </row>
    <row r="129" spans="1:6" x14ac:dyDescent="0.3">
      <c r="A129">
        <v>80</v>
      </c>
      <c r="B129" s="1" t="s">
        <v>156</v>
      </c>
      <c r="C129" s="1" t="s">
        <v>47</v>
      </c>
      <c r="D129" s="1" t="s">
        <v>51</v>
      </c>
      <c r="E129">
        <v>2</v>
      </c>
      <c r="F129">
        <v>0</v>
      </c>
    </row>
    <row r="130" spans="1:6" x14ac:dyDescent="0.3">
      <c r="A130">
        <v>80</v>
      </c>
      <c r="B130" s="1" t="s">
        <v>157</v>
      </c>
      <c r="C130" s="1" t="s">
        <v>45</v>
      </c>
      <c r="D130" s="1" t="s">
        <v>14</v>
      </c>
      <c r="E130">
        <v>2</v>
      </c>
      <c r="F130">
        <v>0</v>
      </c>
    </row>
    <row r="131" spans="1:6" x14ac:dyDescent="0.3">
      <c r="A131">
        <v>80</v>
      </c>
      <c r="B131" s="1" t="s">
        <v>158</v>
      </c>
      <c r="C131" s="1" t="s">
        <v>55</v>
      </c>
      <c r="D131" s="1" t="s">
        <v>8</v>
      </c>
      <c r="E131">
        <v>2</v>
      </c>
      <c r="F131">
        <v>1</v>
      </c>
    </row>
    <row r="132" spans="1:6" x14ac:dyDescent="0.3">
      <c r="A132">
        <v>80</v>
      </c>
      <c r="B132" s="1" t="s">
        <v>159</v>
      </c>
      <c r="C132" s="1" t="s">
        <v>26</v>
      </c>
      <c r="D132" s="1" t="s">
        <v>14</v>
      </c>
      <c r="E132">
        <v>2</v>
      </c>
      <c r="F132">
        <v>0</v>
      </c>
    </row>
    <row r="133" spans="1:6" x14ac:dyDescent="0.3">
      <c r="A133">
        <v>80</v>
      </c>
      <c r="B133" s="1" t="s">
        <v>160</v>
      </c>
      <c r="C133" s="1" t="s">
        <v>10</v>
      </c>
      <c r="D133" s="1" t="s">
        <v>14</v>
      </c>
      <c r="E133">
        <v>2</v>
      </c>
      <c r="F133">
        <v>2</v>
      </c>
    </row>
    <row r="134" spans="1:6" x14ac:dyDescent="0.3">
      <c r="A134">
        <v>133</v>
      </c>
      <c r="B134" s="1" t="s">
        <v>161</v>
      </c>
      <c r="C134" s="1" t="s">
        <v>69</v>
      </c>
      <c r="D134" s="1" t="s">
        <v>14</v>
      </c>
      <c r="E134">
        <v>1</v>
      </c>
      <c r="F134">
        <v>0</v>
      </c>
    </row>
    <row r="135" spans="1:6" x14ac:dyDescent="0.3">
      <c r="A135">
        <v>133</v>
      </c>
      <c r="B135" s="1" t="s">
        <v>162</v>
      </c>
      <c r="C135" s="1" t="s">
        <v>18</v>
      </c>
      <c r="D135" s="1" t="s">
        <v>14</v>
      </c>
      <c r="E135">
        <v>1</v>
      </c>
      <c r="F135">
        <v>0</v>
      </c>
    </row>
    <row r="136" spans="1:6" x14ac:dyDescent="0.3">
      <c r="A136">
        <v>133</v>
      </c>
      <c r="B136" s="1" t="s">
        <v>163</v>
      </c>
      <c r="C136" s="1" t="s">
        <v>55</v>
      </c>
      <c r="D136" s="1" t="s">
        <v>14</v>
      </c>
      <c r="E136">
        <v>1</v>
      </c>
      <c r="F136">
        <v>0</v>
      </c>
    </row>
    <row r="137" spans="1:6" x14ac:dyDescent="0.3">
      <c r="A137">
        <v>133</v>
      </c>
      <c r="B137" s="1" t="s">
        <v>164</v>
      </c>
      <c r="C137" s="1" t="s">
        <v>7</v>
      </c>
      <c r="D137" s="1" t="s">
        <v>51</v>
      </c>
      <c r="E137">
        <v>1</v>
      </c>
      <c r="F137">
        <v>0</v>
      </c>
    </row>
    <row r="138" spans="1:6" x14ac:dyDescent="0.3">
      <c r="A138">
        <v>133</v>
      </c>
      <c r="B138" s="1" t="s">
        <v>165</v>
      </c>
      <c r="C138" s="1" t="s">
        <v>16</v>
      </c>
      <c r="D138" s="1" t="s">
        <v>51</v>
      </c>
      <c r="E138">
        <v>1</v>
      </c>
      <c r="F138">
        <v>0</v>
      </c>
    </row>
    <row r="139" spans="1:6" x14ac:dyDescent="0.3">
      <c r="A139">
        <v>133</v>
      </c>
      <c r="B139" s="1" t="s">
        <v>166</v>
      </c>
      <c r="C139" s="1" t="s">
        <v>36</v>
      </c>
      <c r="D139" s="1" t="s">
        <v>14</v>
      </c>
      <c r="E139">
        <v>1</v>
      </c>
      <c r="F139">
        <v>0</v>
      </c>
    </row>
    <row r="140" spans="1:6" x14ac:dyDescent="0.3">
      <c r="A140">
        <v>133</v>
      </c>
      <c r="B140" s="1" t="s">
        <v>167</v>
      </c>
      <c r="C140" s="1" t="s">
        <v>7</v>
      </c>
      <c r="D140" s="1" t="s">
        <v>14</v>
      </c>
      <c r="E140">
        <v>1</v>
      </c>
      <c r="F140">
        <v>0</v>
      </c>
    </row>
    <row r="141" spans="1:6" x14ac:dyDescent="0.3">
      <c r="A141">
        <v>133</v>
      </c>
      <c r="B141" s="1" t="s">
        <v>168</v>
      </c>
      <c r="C141" s="1" t="s">
        <v>83</v>
      </c>
      <c r="D141" s="1" t="s">
        <v>14</v>
      </c>
      <c r="E141">
        <v>1</v>
      </c>
      <c r="F141">
        <v>0</v>
      </c>
    </row>
    <row r="142" spans="1:6" x14ac:dyDescent="0.3">
      <c r="A142">
        <v>133</v>
      </c>
      <c r="B142" s="1" t="s">
        <v>169</v>
      </c>
      <c r="C142" s="1" t="s">
        <v>7</v>
      </c>
      <c r="D142" s="1" t="s">
        <v>51</v>
      </c>
      <c r="E142">
        <v>1</v>
      </c>
      <c r="F142">
        <v>0</v>
      </c>
    </row>
    <row r="143" spans="1:6" x14ac:dyDescent="0.3">
      <c r="A143">
        <v>133</v>
      </c>
      <c r="B143" s="1" t="s">
        <v>170</v>
      </c>
      <c r="C143" s="1" t="s">
        <v>31</v>
      </c>
      <c r="D143" s="1" t="s">
        <v>8</v>
      </c>
      <c r="E143">
        <v>1</v>
      </c>
      <c r="F143">
        <v>1</v>
      </c>
    </row>
    <row r="144" spans="1:6" x14ac:dyDescent="0.3">
      <c r="A144">
        <v>133</v>
      </c>
      <c r="B144" s="1" t="s">
        <v>171</v>
      </c>
      <c r="C144" s="1" t="s">
        <v>20</v>
      </c>
      <c r="D144" s="1" t="s">
        <v>8</v>
      </c>
      <c r="E144">
        <v>1</v>
      </c>
      <c r="F144">
        <v>0</v>
      </c>
    </row>
    <row r="145" spans="1:6" x14ac:dyDescent="0.3">
      <c r="A145">
        <v>133</v>
      </c>
      <c r="B145" s="1" t="s">
        <v>172</v>
      </c>
      <c r="C145" s="1" t="s">
        <v>28</v>
      </c>
      <c r="D145" s="1" t="s">
        <v>14</v>
      </c>
      <c r="E145">
        <v>1</v>
      </c>
      <c r="F145">
        <v>0</v>
      </c>
    </row>
    <row r="146" spans="1:6" x14ac:dyDescent="0.3">
      <c r="A146">
        <v>133</v>
      </c>
      <c r="B146" s="1" t="s">
        <v>173</v>
      </c>
      <c r="C146" s="1" t="s">
        <v>12</v>
      </c>
      <c r="D146" s="1" t="s">
        <v>51</v>
      </c>
      <c r="E146">
        <v>1</v>
      </c>
      <c r="F146">
        <v>0</v>
      </c>
    </row>
    <row r="147" spans="1:6" x14ac:dyDescent="0.3">
      <c r="A147">
        <v>133</v>
      </c>
      <c r="B147" s="1" t="s">
        <v>174</v>
      </c>
      <c r="C147" s="1" t="s">
        <v>22</v>
      </c>
      <c r="D147" s="1" t="s">
        <v>8</v>
      </c>
      <c r="E147">
        <v>1</v>
      </c>
      <c r="F147">
        <v>0</v>
      </c>
    </row>
    <row r="148" spans="1:6" x14ac:dyDescent="0.3">
      <c r="A148">
        <v>133</v>
      </c>
      <c r="B148" s="1" t="s">
        <v>175</v>
      </c>
      <c r="C148" s="1" t="s">
        <v>22</v>
      </c>
      <c r="D148" s="1" t="s">
        <v>8</v>
      </c>
      <c r="E148">
        <v>1</v>
      </c>
      <c r="F148">
        <v>0</v>
      </c>
    </row>
    <row r="149" spans="1:6" x14ac:dyDescent="0.3">
      <c r="A149">
        <v>133</v>
      </c>
      <c r="B149" s="1" t="s">
        <v>176</v>
      </c>
      <c r="C149" s="1" t="s">
        <v>78</v>
      </c>
      <c r="D149" s="1" t="s">
        <v>8</v>
      </c>
      <c r="E149">
        <v>1</v>
      </c>
      <c r="F149">
        <v>0</v>
      </c>
    </row>
    <row r="150" spans="1:6" x14ac:dyDescent="0.3">
      <c r="A150">
        <v>133</v>
      </c>
      <c r="B150" s="1" t="s">
        <v>177</v>
      </c>
      <c r="C150" s="1" t="s">
        <v>10</v>
      </c>
      <c r="D150" s="1" t="s">
        <v>14</v>
      </c>
      <c r="E150">
        <v>1</v>
      </c>
      <c r="F150">
        <v>0</v>
      </c>
    </row>
    <row r="151" spans="1:6" x14ac:dyDescent="0.3">
      <c r="A151">
        <v>133</v>
      </c>
      <c r="B151" s="1" t="s">
        <v>178</v>
      </c>
      <c r="C151" s="1" t="s">
        <v>78</v>
      </c>
      <c r="D151" s="1" t="s">
        <v>8</v>
      </c>
      <c r="E151">
        <v>1</v>
      </c>
      <c r="F151">
        <v>0</v>
      </c>
    </row>
    <row r="152" spans="1:6" x14ac:dyDescent="0.3">
      <c r="A152">
        <v>133</v>
      </c>
      <c r="B152" s="1" t="s">
        <v>179</v>
      </c>
      <c r="C152" s="1" t="s">
        <v>31</v>
      </c>
      <c r="D152" s="1" t="s">
        <v>51</v>
      </c>
      <c r="E152">
        <v>1</v>
      </c>
      <c r="F152">
        <v>0</v>
      </c>
    </row>
    <row r="153" spans="1:6" x14ac:dyDescent="0.3">
      <c r="A153">
        <v>133</v>
      </c>
      <c r="B153" s="1" t="s">
        <v>180</v>
      </c>
      <c r="C153" s="1" t="s">
        <v>43</v>
      </c>
      <c r="D153" s="1" t="s">
        <v>51</v>
      </c>
      <c r="E153">
        <v>1</v>
      </c>
      <c r="F153">
        <v>0</v>
      </c>
    </row>
    <row r="154" spans="1:6" x14ac:dyDescent="0.3">
      <c r="A154">
        <v>133</v>
      </c>
      <c r="B154" s="1" t="s">
        <v>181</v>
      </c>
      <c r="C154" s="1" t="s">
        <v>78</v>
      </c>
      <c r="D154" s="1" t="s">
        <v>51</v>
      </c>
      <c r="E154">
        <v>1</v>
      </c>
      <c r="F154">
        <v>0</v>
      </c>
    </row>
    <row r="155" spans="1:6" x14ac:dyDescent="0.3">
      <c r="A155">
        <v>133</v>
      </c>
      <c r="B155" s="1" t="s">
        <v>182</v>
      </c>
      <c r="C155" s="1" t="s">
        <v>24</v>
      </c>
      <c r="D155" s="1" t="s">
        <v>51</v>
      </c>
      <c r="E155">
        <v>1</v>
      </c>
      <c r="F155">
        <v>0</v>
      </c>
    </row>
    <row r="156" spans="1:6" x14ac:dyDescent="0.3">
      <c r="A156">
        <v>133</v>
      </c>
      <c r="B156" s="1" t="s">
        <v>183</v>
      </c>
      <c r="C156" s="1" t="s">
        <v>41</v>
      </c>
      <c r="D156" s="1" t="s">
        <v>14</v>
      </c>
      <c r="E156">
        <v>1</v>
      </c>
      <c r="F156">
        <v>0</v>
      </c>
    </row>
    <row r="157" spans="1:6" x14ac:dyDescent="0.3">
      <c r="A157">
        <v>133</v>
      </c>
      <c r="B157" s="1" t="s">
        <v>184</v>
      </c>
      <c r="C157" s="1" t="s">
        <v>55</v>
      </c>
      <c r="D157" s="1" t="s">
        <v>14</v>
      </c>
      <c r="E157">
        <v>1</v>
      </c>
      <c r="F157">
        <v>1</v>
      </c>
    </row>
    <row r="158" spans="1:6" x14ac:dyDescent="0.3">
      <c r="A158">
        <v>133</v>
      </c>
      <c r="B158" s="1" t="s">
        <v>185</v>
      </c>
      <c r="C158" s="1" t="s">
        <v>10</v>
      </c>
      <c r="D158" s="1" t="s">
        <v>8</v>
      </c>
      <c r="E158">
        <v>1</v>
      </c>
      <c r="F158">
        <v>0</v>
      </c>
    </row>
    <row r="159" spans="1:6" x14ac:dyDescent="0.3">
      <c r="A159">
        <v>133</v>
      </c>
      <c r="B159" s="1" t="s">
        <v>186</v>
      </c>
      <c r="C159" s="1" t="s">
        <v>20</v>
      </c>
      <c r="D159" s="1" t="s">
        <v>8</v>
      </c>
      <c r="E159">
        <v>1</v>
      </c>
      <c r="F159">
        <v>0</v>
      </c>
    </row>
    <row r="160" spans="1:6" x14ac:dyDescent="0.3">
      <c r="A160">
        <v>133</v>
      </c>
      <c r="B160" s="1" t="s">
        <v>187</v>
      </c>
      <c r="C160" s="1" t="s">
        <v>47</v>
      </c>
      <c r="D160" s="1" t="s">
        <v>8</v>
      </c>
      <c r="E160">
        <v>1</v>
      </c>
      <c r="F160">
        <v>1</v>
      </c>
    </row>
    <row r="161" spans="1:6" x14ac:dyDescent="0.3">
      <c r="A161">
        <v>133</v>
      </c>
      <c r="B161" s="1" t="s">
        <v>188</v>
      </c>
      <c r="C161" s="1" t="s">
        <v>16</v>
      </c>
      <c r="D161" s="1" t="s">
        <v>51</v>
      </c>
      <c r="E161">
        <v>1</v>
      </c>
      <c r="F161">
        <v>0</v>
      </c>
    </row>
    <row r="162" spans="1:6" x14ac:dyDescent="0.3">
      <c r="A162">
        <v>133</v>
      </c>
      <c r="B162" s="1" t="s">
        <v>189</v>
      </c>
      <c r="C162" s="1" t="s">
        <v>31</v>
      </c>
      <c r="D162" s="1" t="s">
        <v>51</v>
      </c>
      <c r="E162">
        <v>1</v>
      </c>
      <c r="F162">
        <v>0</v>
      </c>
    </row>
    <row r="163" spans="1:6" x14ac:dyDescent="0.3">
      <c r="A163">
        <v>133</v>
      </c>
      <c r="B163" s="1" t="s">
        <v>190</v>
      </c>
      <c r="C163" s="1" t="s">
        <v>12</v>
      </c>
      <c r="D163" s="1" t="s">
        <v>51</v>
      </c>
      <c r="E163">
        <v>1</v>
      </c>
      <c r="F163">
        <v>0</v>
      </c>
    </row>
    <row r="164" spans="1:6" x14ac:dyDescent="0.3">
      <c r="A164">
        <v>133</v>
      </c>
      <c r="B164" s="1" t="s">
        <v>191</v>
      </c>
      <c r="C164" s="1" t="s">
        <v>83</v>
      </c>
      <c r="D164" s="1" t="s">
        <v>8</v>
      </c>
      <c r="E164">
        <v>1</v>
      </c>
      <c r="F164">
        <v>0</v>
      </c>
    </row>
    <row r="165" spans="1:6" x14ac:dyDescent="0.3">
      <c r="A165">
        <v>133</v>
      </c>
      <c r="B165" s="1" t="s">
        <v>192</v>
      </c>
      <c r="C165" s="1" t="s">
        <v>7</v>
      </c>
      <c r="D165" s="1" t="s">
        <v>51</v>
      </c>
      <c r="E165">
        <v>1</v>
      </c>
      <c r="F165">
        <v>0</v>
      </c>
    </row>
    <row r="166" spans="1:6" x14ac:dyDescent="0.3">
      <c r="A166">
        <v>133</v>
      </c>
      <c r="B166" s="1" t="s">
        <v>193</v>
      </c>
      <c r="C166" s="1" t="s">
        <v>55</v>
      </c>
      <c r="D166" s="1" t="s">
        <v>8</v>
      </c>
      <c r="E166">
        <v>1</v>
      </c>
      <c r="F166">
        <v>0</v>
      </c>
    </row>
    <row r="167" spans="1:6" x14ac:dyDescent="0.3">
      <c r="A167">
        <v>133</v>
      </c>
      <c r="B167" s="1" t="s">
        <v>194</v>
      </c>
      <c r="C167" s="1" t="s">
        <v>36</v>
      </c>
      <c r="D167" s="1" t="s">
        <v>14</v>
      </c>
      <c r="E167">
        <v>1</v>
      </c>
      <c r="F167">
        <v>0</v>
      </c>
    </row>
    <row r="168" spans="1:6" x14ac:dyDescent="0.3">
      <c r="A168">
        <v>133</v>
      </c>
      <c r="B168" s="1" t="s">
        <v>195</v>
      </c>
      <c r="C168" s="1" t="s">
        <v>24</v>
      </c>
      <c r="D168" s="1" t="s">
        <v>14</v>
      </c>
      <c r="E168">
        <v>1</v>
      </c>
      <c r="F168">
        <v>0</v>
      </c>
    </row>
    <row r="169" spans="1:6" x14ac:dyDescent="0.3">
      <c r="A169">
        <v>133</v>
      </c>
      <c r="B169" s="1" t="s">
        <v>196</v>
      </c>
      <c r="C169" s="1" t="s">
        <v>20</v>
      </c>
      <c r="D169" s="1" t="s">
        <v>14</v>
      </c>
      <c r="E169">
        <v>1</v>
      </c>
      <c r="F169">
        <v>0</v>
      </c>
    </row>
    <row r="170" spans="1:6" x14ac:dyDescent="0.3">
      <c r="A170">
        <v>133</v>
      </c>
      <c r="B170" s="1" t="s">
        <v>197</v>
      </c>
      <c r="C170" s="1" t="s">
        <v>16</v>
      </c>
      <c r="D170" s="1" t="s">
        <v>14</v>
      </c>
      <c r="E170">
        <v>1</v>
      </c>
      <c r="F170">
        <v>0</v>
      </c>
    </row>
    <row r="171" spans="1:6" x14ac:dyDescent="0.3">
      <c r="A171">
        <v>133</v>
      </c>
      <c r="B171" s="1" t="s">
        <v>198</v>
      </c>
      <c r="C171" s="1" t="s">
        <v>47</v>
      </c>
      <c r="D171" s="1" t="s">
        <v>51</v>
      </c>
      <c r="E171">
        <v>1</v>
      </c>
      <c r="F171">
        <v>0</v>
      </c>
    </row>
    <row r="172" spans="1:6" x14ac:dyDescent="0.3">
      <c r="A172">
        <v>133</v>
      </c>
      <c r="B172" s="1" t="s">
        <v>199</v>
      </c>
      <c r="C172" s="1" t="s">
        <v>69</v>
      </c>
      <c r="D172" s="1" t="s">
        <v>14</v>
      </c>
      <c r="E172">
        <v>1</v>
      </c>
      <c r="F172">
        <v>0</v>
      </c>
    </row>
    <row r="173" spans="1:6" x14ac:dyDescent="0.3">
      <c r="A173">
        <v>133</v>
      </c>
      <c r="B173" s="1" t="s">
        <v>200</v>
      </c>
      <c r="C173" s="1" t="s">
        <v>36</v>
      </c>
      <c r="D173" s="1" t="s">
        <v>14</v>
      </c>
      <c r="E173">
        <v>1</v>
      </c>
      <c r="F173">
        <v>0</v>
      </c>
    </row>
    <row r="174" spans="1:6" x14ac:dyDescent="0.3">
      <c r="A174">
        <v>133</v>
      </c>
      <c r="B174" s="1" t="s">
        <v>201</v>
      </c>
      <c r="C174" s="1" t="s">
        <v>28</v>
      </c>
      <c r="D174" s="1" t="s">
        <v>51</v>
      </c>
      <c r="E174">
        <v>1</v>
      </c>
      <c r="F174">
        <v>0</v>
      </c>
    </row>
    <row r="175" spans="1:6" x14ac:dyDescent="0.3">
      <c r="A175">
        <v>133</v>
      </c>
      <c r="B175" s="1" t="s">
        <v>202</v>
      </c>
      <c r="C175" s="1" t="s">
        <v>16</v>
      </c>
      <c r="D175" s="1" t="s">
        <v>8</v>
      </c>
      <c r="E175">
        <v>1</v>
      </c>
      <c r="F175">
        <v>0</v>
      </c>
    </row>
    <row r="176" spans="1:6" x14ac:dyDescent="0.3">
      <c r="A176">
        <v>133</v>
      </c>
      <c r="B176" s="1" t="s">
        <v>203</v>
      </c>
      <c r="C176" s="1" t="s">
        <v>28</v>
      </c>
      <c r="D176" s="1" t="s">
        <v>14</v>
      </c>
      <c r="E176">
        <v>1</v>
      </c>
      <c r="F176">
        <v>0</v>
      </c>
    </row>
    <row r="177" spans="1:6" x14ac:dyDescent="0.3">
      <c r="A177">
        <v>133</v>
      </c>
      <c r="B177" s="1" t="s">
        <v>204</v>
      </c>
      <c r="C177" s="1" t="s">
        <v>18</v>
      </c>
      <c r="D177" s="1" t="s">
        <v>51</v>
      </c>
      <c r="E177">
        <v>1</v>
      </c>
      <c r="F177">
        <v>0</v>
      </c>
    </row>
    <row r="178" spans="1:6" x14ac:dyDescent="0.3">
      <c r="A178">
        <v>133</v>
      </c>
      <c r="B178" s="1" t="s">
        <v>205</v>
      </c>
      <c r="C178" s="1" t="s">
        <v>12</v>
      </c>
      <c r="D178" s="1" t="s">
        <v>14</v>
      </c>
      <c r="E178">
        <v>1</v>
      </c>
      <c r="F178">
        <v>0</v>
      </c>
    </row>
    <row r="179" spans="1:6" x14ac:dyDescent="0.3">
      <c r="A179">
        <v>133</v>
      </c>
      <c r="B179" s="1" t="s">
        <v>206</v>
      </c>
      <c r="C179" s="1" t="s">
        <v>12</v>
      </c>
      <c r="D179" s="1" t="s">
        <v>51</v>
      </c>
      <c r="E179">
        <v>1</v>
      </c>
      <c r="F179">
        <v>0</v>
      </c>
    </row>
    <row r="180" spans="1:6" x14ac:dyDescent="0.3">
      <c r="A180">
        <v>133</v>
      </c>
      <c r="B180" s="1" t="s">
        <v>207</v>
      </c>
      <c r="C180" s="1" t="s">
        <v>28</v>
      </c>
      <c r="D180" s="1" t="s">
        <v>14</v>
      </c>
      <c r="E180">
        <v>1</v>
      </c>
      <c r="F180">
        <v>1</v>
      </c>
    </row>
    <row r="181" spans="1:6" x14ac:dyDescent="0.3">
      <c r="A181">
        <v>133</v>
      </c>
      <c r="B181" s="1" t="s">
        <v>208</v>
      </c>
      <c r="C181" s="1" t="s">
        <v>41</v>
      </c>
      <c r="D181" s="1" t="s">
        <v>51</v>
      </c>
      <c r="E181">
        <v>1</v>
      </c>
      <c r="F181">
        <v>0</v>
      </c>
    </row>
    <row r="182" spans="1:6" x14ac:dyDescent="0.3">
      <c r="A182">
        <v>133</v>
      </c>
      <c r="B182" s="1" t="s">
        <v>209</v>
      </c>
      <c r="C182" s="1" t="s">
        <v>26</v>
      </c>
      <c r="D182" s="1" t="s">
        <v>51</v>
      </c>
      <c r="E182">
        <v>1</v>
      </c>
      <c r="F182">
        <v>0</v>
      </c>
    </row>
    <row r="183" spans="1:6" x14ac:dyDescent="0.3">
      <c r="A183">
        <v>133</v>
      </c>
      <c r="B183" s="1" t="s">
        <v>210</v>
      </c>
      <c r="C183" s="1" t="s">
        <v>18</v>
      </c>
      <c r="D183" s="1" t="s">
        <v>51</v>
      </c>
      <c r="E183">
        <v>1</v>
      </c>
      <c r="F183">
        <v>0</v>
      </c>
    </row>
    <row r="184" spans="1:6" x14ac:dyDescent="0.3">
      <c r="A184">
        <v>133</v>
      </c>
      <c r="B184" s="1" t="s">
        <v>211</v>
      </c>
      <c r="C184" s="1" t="s">
        <v>45</v>
      </c>
      <c r="D184" s="1" t="s">
        <v>14</v>
      </c>
      <c r="E184">
        <v>1</v>
      </c>
      <c r="F184">
        <v>0</v>
      </c>
    </row>
    <row r="185" spans="1:6" x14ac:dyDescent="0.3">
      <c r="A185">
        <v>133</v>
      </c>
      <c r="B185" s="1" t="s">
        <v>212</v>
      </c>
      <c r="C185" s="1" t="s">
        <v>47</v>
      </c>
      <c r="D185" s="1" t="s">
        <v>8</v>
      </c>
      <c r="E185">
        <v>1</v>
      </c>
      <c r="F185">
        <v>0</v>
      </c>
    </row>
    <row r="186" spans="1:6" x14ac:dyDescent="0.3">
      <c r="A186">
        <v>133</v>
      </c>
      <c r="B186" s="1" t="s">
        <v>213</v>
      </c>
      <c r="C186" s="1" t="s">
        <v>22</v>
      </c>
      <c r="D186" s="1" t="s">
        <v>14</v>
      </c>
      <c r="E186">
        <v>1</v>
      </c>
      <c r="F186">
        <v>0</v>
      </c>
    </row>
    <row r="187" spans="1:6" x14ac:dyDescent="0.3">
      <c r="A187">
        <v>133</v>
      </c>
      <c r="B187" s="1" t="s">
        <v>214</v>
      </c>
      <c r="C187" s="1" t="s">
        <v>18</v>
      </c>
      <c r="D187" s="1" t="s">
        <v>51</v>
      </c>
      <c r="E187">
        <v>1</v>
      </c>
      <c r="F187">
        <v>0</v>
      </c>
    </row>
    <row r="188" spans="1:6" x14ac:dyDescent="0.3">
      <c r="A188">
        <v>133</v>
      </c>
      <c r="B188" s="1" t="s">
        <v>215</v>
      </c>
      <c r="C188" s="1" t="s">
        <v>26</v>
      </c>
      <c r="D188" s="1" t="s">
        <v>51</v>
      </c>
      <c r="E188">
        <v>1</v>
      </c>
      <c r="F188">
        <v>0</v>
      </c>
    </row>
    <row r="189" spans="1:6" x14ac:dyDescent="0.3">
      <c r="A189">
        <v>133</v>
      </c>
      <c r="B189" s="1" t="s">
        <v>216</v>
      </c>
      <c r="C189" s="1" t="s">
        <v>22</v>
      </c>
      <c r="D189" s="1" t="s">
        <v>51</v>
      </c>
      <c r="E189">
        <v>1</v>
      </c>
      <c r="F189">
        <v>0</v>
      </c>
    </row>
    <row r="190" spans="1:6" x14ac:dyDescent="0.3">
      <c r="A190">
        <v>133</v>
      </c>
      <c r="B190" s="1" t="s">
        <v>217</v>
      </c>
      <c r="C190" s="1" t="s">
        <v>10</v>
      </c>
      <c r="D190" s="1" t="s">
        <v>8</v>
      </c>
      <c r="E190">
        <v>1</v>
      </c>
      <c r="F190">
        <v>0</v>
      </c>
    </row>
    <row r="191" spans="1:6" x14ac:dyDescent="0.3">
      <c r="A191">
        <v>133</v>
      </c>
      <c r="B191" s="1" t="s">
        <v>218</v>
      </c>
      <c r="C191" s="1" t="s">
        <v>12</v>
      </c>
      <c r="D191" s="1" t="s">
        <v>8</v>
      </c>
      <c r="E191">
        <v>1</v>
      </c>
      <c r="F191">
        <v>0</v>
      </c>
    </row>
    <row r="192" spans="1:6" x14ac:dyDescent="0.3">
      <c r="A192">
        <v>133</v>
      </c>
      <c r="B192" s="1" t="s">
        <v>219</v>
      </c>
      <c r="C192" s="1" t="s">
        <v>12</v>
      </c>
      <c r="D192" s="1" t="s">
        <v>14</v>
      </c>
      <c r="E192">
        <v>1</v>
      </c>
      <c r="F192">
        <v>0</v>
      </c>
    </row>
    <row r="193" spans="1:6" x14ac:dyDescent="0.3">
      <c r="A193">
        <v>133</v>
      </c>
      <c r="B193" s="1" t="s">
        <v>220</v>
      </c>
      <c r="C193" s="1" t="s">
        <v>18</v>
      </c>
      <c r="D193" s="1" t="s">
        <v>14</v>
      </c>
      <c r="E193">
        <v>1</v>
      </c>
      <c r="F193">
        <v>0</v>
      </c>
    </row>
    <row r="194" spans="1:6" x14ac:dyDescent="0.3">
      <c r="A194">
        <v>133</v>
      </c>
      <c r="B194" s="1" t="s">
        <v>221</v>
      </c>
      <c r="C194" s="1" t="s">
        <v>55</v>
      </c>
      <c r="D194" s="1" t="s">
        <v>51</v>
      </c>
      <c r="E194">
        <v>1</v>
      </c>
      <c r="F194">
        <v>0</v>
      </c>
    </row>
    <row r="195" spans="1:6" x14ac:dyDescent="0.3">
      <c r="A195">
        <v>133</v>
      </c>
      <c r="B195" s="1" t="s">
        <v>222</v>
      </c>
      <c r="C195" s="1" t="s">
        <v>12</v>
      </c>
      <c r="D195" s="1" t="s">
        <v>8</v>
      </c>
      <c r="E195">
        <v>1</v>
      </c>
      <c r="F195">
        <v>0</v>
      </c>
    </row>
    <row r="196" spans="1:6" x14ac:dyDescent="0.3">
      <c r="A196">
        <v>133</v>
      </c>
      <c r="B196" s="1" t="s">
        <v>223</v>
      </c>
      <c r="C196" s="1" t="s">
        <v>20</v>
      </c>
      <c r="D196" s="1" t="s">
        <v>51</v>
      </c>
      <c r="E196">
        <v>1</v>
      </c>
      <c r="F196">
        <v>0</v>
      </c>
    </row>
    <row r="197" spans="1:6" x14ac:dyDescent="0.3">
      <c r="A197">
        <v>133</v>
      </c>
      <c r="B197" s="1" t="s">
        <v>224</v>
      </c>
      <c r="C197" s="1" t="s">
        <v>47</v>
      </c>
      <c r="D197" s="1" t="s">
        <v>51</v>
      </c>
      <c r="E197">
        <v>1</v>
      </c>
      <c r="F197">
        <v>0</v>
      </c>
    </row>
    <row r="198" spans="1:6" x14ac:dyDescent="0.3">
      <c r="A198">
        <v>133</v>
      </c>
      <c r="B198" s="1" t="s">
        <v>225</v>
      </c>
      <c r="C198" s="1" t="s">
        <v>55</v>
      </c>
      <c r="D198" s="1" t="s">
        <v>14</v>
      </c>
      <c r="E198">
        <v>1</v>
      </c>
      <c r="F198">
        <v>0</v>
      </c>
    </row>
    <row r="199" spans="1:6" x14ac:dyDescent="0.3">
      <c r="A199">
        <v>133</v>
      </c>
      <c r="B199" s="1" t="s">
        <v>226</v>
      </c>
      <c r="C199" s="1" t="s">
        <v>36</v>
      </c>
      <c r="D199" s="1" t="s">
        <v>51</v>
      </c>
      <c r="E199">
        <v>1</v>
      </c>
      <c r="F199">
        <v>0</v>
      </c>
    </row>
    <row r="200" spans="1:6" x14ac:dyDescent="0.3">
      <c r="A200">
        <v>133</v>
      </c>
      <c r="B200" s="1" t="s">
        <v>227</v>
      </c>
      <c r="C200" s="1" t="s">
        <v>45</v>
      </c>
      <c r="D200" s="1" t="s">
        <v>14</v>
      </c>
      <c r="E200">
        <v>1</v>
      </c>
      <c r="F200">
        <v>0</v>
      </c>
    </row>
    <row r="201" spans="1:6" x14ac:dyDescent="0.3">
      <c r="A201">
        <v>133</v>
      </c>
      <c r="B201" s="1" t="s">
        <v>228</v>
      </c>
      <c r="C201" s="1" t="s">
        <v>36</v>
      </c>
      <c r="D201" s="1" t="s">
        <v>8</v>
      </c>
      <c r="E201">
        <v>1</v>
      </c>
      <c r="F201">
        <v>0</v>
      </c>
    </row>
    <row r="202" spans="1:6" x14ac:dyDescent="0.3">
      <c r="A202">
        <v>133</v>
      </c>
      <c r="B202" s="1" t="s">
        <v>229</v>
      </c>
      <c r="C202" s="1" t="s">
        <v>69</v>
      </c>
      <c r="D202" s="1" t="s">
        <v>51</v>
      </c>
      <c r="E202">
        <v>1</v>
      </c>
      <c r="F202">
        <v>0</v>
      </c>
    </row>
    <row r="203" spans="1:6" x14ac:dyDescent="0.3">
      <c r="A203">
        <v>133</v>
      </c>
      <c r="B203" s="1" t="s">
        <v>230</v>
      </c>
      <c r="C203" s="1" t="s">
        <v>20</v>
      </c>
      <c r="D203" s="1" t="s">
        <v>51</v>
      </c>
      <c r="E203">
        <v>1</v>
      </c>
      <c r="F203">
        <v>0</v>
      </c>
    </row>
    <row r="204" spans="1:6" x14ac:dyDescent="0.3">
      <c r="A204">
        <v>133</v>
      </c>
      <c r="B204" s="1" t="s">
        <v>231</v>
      </c>
      <c r="C204" s="1" t="s">
        <v>18</v>
      </c>
      <c r="D204" s="1" t="s">
        <v>14</v>
      </c>
      <c r="E204">
        <v>1</v>
      </c>
      <c r="F204">
        <v>0</v>
      </c>
    </row>
    <row r="205" spans="1:6" x14ac:dyDescent="0.3">
      <c r="A205">
        <v>133</v>
      </c>
      <c r="B205" s="1" t="s">
        <v>232</v>
      </c>
      <c r="C205" s="1" t="s">
        <v>7</v>
      </c>
      <c r="D205" s="1" t="s">
        <v>14</v>
      </c>
      <c r="E205">
        <v>1</v>
      </c>
      <c r="F205">
        <v>0</v>
      </c>
    </row>
    <row r="206" spans="1:6" x14ac:dyDescent="0.3">
      <c r="A206">
        <v>133</v>
      </c>
      <c r="B206" s="1" t="s">
        <v>233</v>
      </c>
      <c r="C206" s="1" t="s">
        <v>10</v>
      </c>
      <c r="D206" s="1" t="s">
        <v>51</v>
      </c>
      <c r="E206">
        <v>1</v>
      </c>
      <c r="F206">
        <v>0</v>
      </c>
    </row>
    <row r="207" spans="1:6" x14ac:dyDescent="0.3">
      <c r="A207">
        <v>133</v>
      </c>
      <c r="B207" s="1" t="s">
        <v>234</v>
      </c>
      <c r="C207" s="1" t="s">
        <v>24</v>
      </c>
      <c r="D207" s="1" t="s">
        <v>14</v>
      </c>
      <c r="E207">
        <v>1</v>
      </c>
      <c r="F207">
        <v>0</v>
      </c>
    </row>
    <row r="208" spans="1:6" x14ac:dyDescent="0.3">
      <c r="A208">
        <v>133</v>
      </c>
      <c r="B208" s="1" t="s">
        <v>235</v>
      </c>
      <c r="C208" s="1" t="s">
        <v>43</v>
      </c>
      <c r="D208" s="1" t="s">
        <v>8</v>
      </c>
      <c r="E208">
        <v>1</v>
      </c>
      <c r="F208">
        <v>0</v>
      </c>
    </row>
    <row r="209" spans="1:6" x14ac:dyDescent="0.3">
      <c r="A209">
        <v>133</v>
      </c>
      <c r="B209" s="1" t="s">
        <v>236</v>
      </c>
      <c r="C209" s="1" t="s">
        <v>43</v>
      </c>
      <c r="D209" s="1" t="s">
        <v>8</v>
      </c>
      <c r="E209">
        <v>1</v>
      </c>
      <c r="F209">
        <v>0</v>
      </c>
    </row>
    <row r="210" spans="1:6" x14ac:dyDescent="0.3">
      <c r="A210">
        <v>133</v>
      </c>
      <c r="B210" s="1" t="s">
        <v>237</v>
      </c>
      <c r="C210" s="1" t="s">
        <v>36</v>
      </c>
      <c r="D210" s="1" t="s">
        <v>51</v>
      </c>
      <c r="E210">
        <v>1</v>
      </c>
      <c r="F210">
        <v>0</v>
      </c>
    </row>
    <row r="211" spans="1:6" x14ac:dyDescent="0.3">
      <c r="A211">
        <v>133</v>
      </c>
      <c r="B211" s="1" t="s">
        <v>238</v>
      </c>
      <c r="C211" s="1" t="s">
        <v>18</v>
      </c>
      <c r="D211" s="1" t="s">
        <v>8</v>
      </c>
      <c r="E211">
        <v>1</v>
      </c>
      <c r="F211">
        <v>0</v>
      </c>
    </row>
    <row r="212" spans="1:6" x14ac:dyDescent="0.3">
      <c r="A212">
        <v>133</v>
      </c>
      <c r="B212" s="1" t="s">
        <v>239</v>
      </c>
      <c r="C212" s="1" t="s">
        <v>31</v>
      </c>
      <c r="D212" s="1" t="s">
        <v>14</v>
      </c>
      <c r="E212">
        <v>1</v>
      </c>
      <c r="F212">
        <v>0</v>
      </c>
    </row>
    <row r="213" spans="1:6" x14ac:dyDescent="0.3">
      <c r="A213">
        <v>133</v>
      </c>
      <c r="B213" s="1" t="s">
        <v>240</v>
      </c>
      <c r="C213" s="1" t="s">
        <v>69</v>
      </c>
      <c r="D213" s="1" t="s">
        <v>14</v>
      </c>
      <c r="E213">
        <v>1</v>
      </c>
      <c r="F213">
        <v>0</v>
      </c>
    </row>
    <row r="214" spans="1:6" x14ac:dyDescent="0.3">
      <c r="A214">
        <v>133</v>
      </c>
      <c r="B214" s="1" t="s">
        <v>241</v>
      </c>
      <c r="C214" s="1" t="s">
        <v>47</v>
      </c>
      <c r="D214" s="1" t="s">
        <v>14</v>
      </c>
      <c r="E214">
        <v>1</v>
      </c>
      <c r="F214">
        <v>0</v>
      </c>
    </row>
    <row r="215" spans="1:6" x14ac:dyDescent="0.3">
      <c r="A215">
        <v>133</v>
      </c>
      <c r="B215" s="1" t="s">
        <v>242</v>
      </c>
      <c r="C215" s="1" t="s">
        <v>55</v>
      </c>
      <c r="D215" s="1" t="s">
        <v>14</v>
      </c>
      <c r="E215">
        <v>1</v>
      </c>
      <c r="F215">
        <v>0</v>
      </c>
    </row>
    <row r="216" spans="1:6" x14ac:dyDescent="0.3">
      <c r="A216">
        <v>133</v>
      </c>
      <c r="B216" s="1" t="s">
        <v>243</v>
      </c>
      <c r="C216" s="1" t="s">
        <v>22</v>
      </c>
      <c r="D216" s="1" t="s">
        <v>14</v>
      </c>
      <c r="E216">
        <v>1</v>
      </c>
      <c r="F216">
        <v>0</v>
      </c>
    </row>
    <row r="217" spans="1:6" x14ac:dyDescent="0.3">
      <c r="A217">
        <v>133</v>
      </c>
      <c r="B217" s="1" t="s">
        <v>244</v>
      </c>
      <c r="C217" s="1" t="s">
        <v>20</v>
      </c>
      <c r="D217" s="1" t="s">
        <v>51</v>
      </c>
      <c r="E217">
        <v>1</v>
      </c>
      <c r="F217">
        <v>0</v>
      </c>
    </row>
    <row r="218" spans="1:6" x14ac:dyDescent="0.3">
      <c r="A218">
        <v>133</v>
      </c>
      <c r="B218" s="1" t="s">
        <v>245</v>
      </c>
      <c r="C218" s="1" t="s">
        <v>43</v>
      </c>
      <c r="D218" s="1" t="s">
        <v>14</v>
      </c>
      <c r="E218">
        <v>1</v>
      </c>
      <c r="F218">
        <v>0</v>
      </c>
    </row>
    <row r="219" spans="1:6" x14ac:dyDescent="0.3">
      <c r="A219">
        <v>133</v>
      </c>
      <c r="B219" s="1" t="s">
        <v>246</v>
      </c>
      <c r="C219" s="1" t="s">
        <v>78</v>
      </c>
      <c r="D219" s="1" t="s">
        <v>14</v>
      </c>
      <c r="E219">
        <v>1</v>
      </c>
      <c r="F219">
        <v>0</v>
      </c>
    </row>
    <row r="220" spans="1:6" x14ac:dyDescent="0.3">
      <c r="A220">
        <v>133</v>
      </c>
      <c r="B220" s="1" t="s">
        <v>247</v>
      </c>
      <c r="C220" s="1" t="s">
        <v>24</v>
      </c>
      <c r="D220" s="1" t="s">
        <v>51</v>
      </c>
      <c r="E220">
        <v>1</v>
      </c>
      <c r="F220">
        <v>0</v>
      </c>
    </row>
    <row r="221" spans="1:6" x14ac:dyDescent="0.3">
      <c r="A221">
        <v>133</v>
      </c>
      <c r="B221" s="1" t="s">
        <v>248</v>
      </c>
      <c r="C221" s="1" t="s">
        <v>26</v>
      </c>
      <c r="D221" s="1" t="s">
        <v>8</v>
      </c>
      <c r="E221">
        <v>1</v>
      </c>
      <c r="F221">
        <v>0</v>
      </c>
    </row>
    <row r="222" spans="1:6" x14ac:dyDescent="0.3">
      <c r="A222">
        <v>133</v>
      </c>
      <c r="B222" s="1" t="s">
        <v>249</v>
      </c>
      <c r="C222" s="1" t="s">
        <v>16</v>
      </c>
      <c r="D222" s="1" t="s">
        <v>14</v>
      </c>
      <c r="E222">
        <v>1</v>
      </c>
      <c r="F222">
        <v>0</v>
      </c>
    </row>
    <row r="223" spans="1:6" x14ac:dyDescent="0.3">
      <c r="A223">
        <v>133</v>
      </c>
      <c r="B223" s="1" t="s">
        <v>250</v>
      </c>
      <c r="C223" s="1" t="s">
        <v>12</v>
      </c>
      <c r="D223" s="1" t="s">
        <v>51</v>
      </c>
      <c r="E223">
        <v>1</v>
      </c>
      <c r="F223">
        <v>0</v>
      </c>
    </row>
    <row r="224" spans="1:6" x14ac:dyDescent="0.3">
      <c r="A224">
        <v>133</v>
      </c>
      <c r="B224" s="1" t="s">
        <v>251</v>
      </c>
      <c r="C224" s="1" t="s">
        <v>26</v>
      </c>
      <c r="D224" s="1" t="s">
        <v>14</v>
      </c>
      <c r="E224">
        <v>1</v>
      </c>
      <c r="F224">
        <v>0</v>
      </c>
    </row>
    <row r="225" spans="1:6" x14ac:dyDescent="0.3">
      <c r="A225">
        <v>133</v>
      </c>
      <c r="B225" s="1" t="s">
        <v>252</v>
      </c>
      <c r="C225" s="1" t="s">
        <v>47</v>
      </c>
      <c r="D225" s="1" t="s">
        <v>8</v>
      </c>
      <c r="E225">
        <v>1</v>
      </c>
      <c r="F225">
        <v>0</v>
      </c>
    </row>
    <row r="226" spans="1:6" x14ac:dyDescent="0.3">
      <c r="A226">
        <v>133</v>
      </c>
      <c r="B226" s="1" t="s">
        <v>253</v>
      </c>
      <c r="C226" s="1" t="s">
        <v>78</v>
      </c>
      <c r="D226" s="1" t="s">
        <v>8</v>
      </c>
      <c r="E226">
        <v>1</v>
      </c>
      <c r="F226">
        <v>0</v>
      </c>
    </row>
    <row r="227" spans="1:6" x14ac:dyDescent="0.3">
      <c r="A227">
        <v>133</v>
      </c>
      <c r="B227" s="1" t="s">
        <v>254</v>
      </c>
      <c r="C227" s="1" t="s">
        <v>7</v>
      </c>
      <c r="D227" s="1" t="s">
        <v>14</v>
      </c>
      <c r="E227">
        <v>1</v>
      </c>
      <c r="F227">
        <v>0</v>
      </c>
    </row>
    <row r="228" spans="1:6" x14ac:dyDescent="0.3">
      <c r="A228">
        <v>133</v>
      </c>
      <c r="B228" s="1" t="s">
        <v>255</v>
      </c>
      <c r="C228" s="1" t="s">
        <v>69</v>
      </c>
      <c r="D228" s="1" t="s">
        <v>14</v>
      </c>
      <c r="E228">
        <v>1</v>
      </c>
      <c r="F228">
        <v>0</v>
      </c>
    </row>
    <row r="229" spans="1:6" x14ac:dyDescent="0.3">
      <c r="A229">
        <v>133</v>
      </c>
      <c r="B229" s="1" t="s">
        <v>256</v>
      </c>
      <c r="C229" s="1" t="s">
        <v>31</v>
      </c>
      <c r="D229" s="1" t="s">
        <v>14</v>
      </c>
      <c r="E229">
        <v>1</v>
      </c>
      <c r="F229">
        <v>0</v>
      </c>
    </row>
    <row r="230" spans="1:6" x14ac:dyDescent="0.3">
      <c r="A230">
        <v>133</v>
      </c>
      <c r="B230" s="1" t="s">
        <v>257</v>
      </c>
      <c r="C230" s="1" t="s">
        <v>83</v>
      </c>
      <c r="D230" s="1" t="s">
        <v>14</v>
      </c>
      <c r="E230">
        <v>1</v>
      </c>
      <c r="F230">
        <v>0</v>
      </c>
    </row>
    <row r="231" spans="1:6" x14ac:dyDescent="0.3">
      <c r="A231">
        <v>133</v>
      </c>
      <c r="B231" s="1" t="s">
        <v>258</v>
      </c>
      <c r="C231" s="1" t="s">
        <v>18</v>
      </c>
      <c r="D231" s="1" t="s">
        <v>14</v>
      </c>
      <c r="E231">
        <v>1</v>
      </c>
      <c r="F231">
        <v>0</v>
      </c>
    </row>
    <row r="232" spans="1:6" x14ac:dyDescent="0.3">
      <c r="A232">
        <v>133</v>
      </c>
      <c r="B232" s="1" t="s">
        <v>259</v>
      </c>
      <c r="C232" s="1" t="s">
        <v>55</v>
      </c>
      <c r="D232" s="1" t="s">
        <v>14</v>
      </c>
      <c r="E232">
        <v>1</v>
      </c>
      <c r="F232">
        <v>0</v>
      </c>
    </row>
    <row r="233" spans="1:6" x14ac:dyDescent="0.3">
      <c r="A233">
        <v>133</v>
      </c>
      <c r="B233" s="1" t="s">
        <v>260</v>
      </c>
      <c r="C233" s="1" t="s">
        <v>69</v>
      </c>
      <c r="D233" s="1" t="s">
        <v>8</v>
      </c>
      <c r="E233">
        <v>1</v>
      </c>
      <c r="F233">
        <v>0</v>
      </c>
    </row>
    <row r="234" spans="1:6" x14ac:dyDescent="0.3">
      <c r="A234">
        <v>133</v>
      </c>
      <c r="B234" s="1" t="s">
        <v>261</v>
      </c>
      <c r="C234" s="1" t="s">
        <v>12</v>
      </c>
      <c r="D234" s="1" t="s">
        <v>14</v>
      </c>
      <c r="E234">
        <v>1</v>
      </c>
      <c r="F234">
        <v>0</v>
      </c>
    </row>
    <row r="235" spans="1:6" x14ac:dyDescent="0.3">
      <c r="A235">
        <v>133</v>
      </c>
      <c r="B235" s="1" t="s">
        <v>262</v>
      </c>
      <c r="C235" s="1" t="s">
        <v>10</v>
      </c>
      <c r="D235" s="1" t="s">
        <v>51</v>
      </c>
      <c r="E235">
        <v>1</v>
      </c>
      <c r="F235">
        <v>0</v>
      </c>
    </row>
    <row r="236" spans="1:6" x14ac:dyDescent="0.3">
      <c r="A236">
        <v>133</v>
      </c>
      <c r="B236" s="1" t="s">
        <v>263</v>
      </c>
      <c r="C236" s="1" t="s">
        <v>45</v>
      </c>
      <c r="D236" s="1" t="s">
        <v>14</v>
      </c>
      <c r="E236">
        <v>1</v>
      </c>
      <c r="F236">
        <v>0</v>
      </c>
    </row>
    <row r="237" spans="1:6" x14ac:dyDescent="0.3">
      <c r="A237">
        <v>133</v>
      </c>
      <c r="B237" s="1" t="s">
        <v>264</v>
      </c>
      <c r="C237" s="1" t="s">
        <v>47</v>
      </c>
      <c r="D237" s="1" t="s">
        <v>8</v>
      </c>
      <c r="E237">
        <v>1</v>
      </c>
      <c r="F237">
        <v>0</v>
      </c>
    </row>
    <row r="238" spans="1:6" x14ac:dyDescent="0.3">
      <c r="A238">
        <v>133</v>
      </c>
      <c r="B238" s="1" t="s">
        <v>265</v>
      </c>
      <c r="C238" s="1" t="s">
        <v>22</v>
      </c>
      <c r="D238" s="1" t="s">
        <v>51</v>
      </c>
      <c r="E238">
        <v>1</v>
      </c>
      <c r="F238">
        <v>0</v>
      </c>
    </row>
    <row r="239" spans="1:6" x14ac:dyDescent="0.3">
      <c r="A239">
        <v>133</v>
      </c>
      <c r="B239" s="1" t="s">
        <v>266</v>
      </c>
      <c r="C239" s="1" t="s">
        <v>43</v>
      </c>
      <c r="D239" s="1" t="s">
        <v>8</v>
      </c>
      <c r="E239">
        <v>1</v>
      </c>
      <c r="F239">
        <v>0</v>
      </c>
    </row>
    <row r="240" spans="1:6" x14ac:dyDescent="0.3">
      <c r="A240">
        <v>133</v>
      </c>
      <c r="B240" s="1" t="s">
        <v>267</v>
      </c>
      <c r="C240" s="1" t="s">
        <v>26</v>
      </c>
      <c r="D240" s="1" t="s">
        <v>51</v>
      </c>
      <c r="E240">
        <v>1</v>
      </c>
      <c r="F240">
        <v>0</v>
      </c>
    </row>
    <row r="241" spans="1:6" x14ac:dyDescent="0.3">
      <c r="A241">
        <v>133</v>
      </c>
      <c r="B241" s="1" t="s">
        <v>268</v>
      </c>
      <c r="C241" s="1" t="s">
        <v>7</v>
      </c>
      <c r="D241" s="1" t="s">
        <v>51</v>
      </c>
      <c r="E241">
        <v>1</v>
      </c>
      <c r="F241">
        <v>0</v>
      </c>
    </row>
    <row r="242" spans="1:6" x14ac:dyDescent="0.3">
      <c r="A242">
        <v>133</v>
      </c>
      <c r="B242" s="1" t="s">
        <v>269</v>
      </c>
      <c r="C242" s="1" t="s">
        <v>12</v>
      </c>
      <c r="D242" s="1" t="s">
        <v>8</v>
      </c>
      <c r="E242">
        <v>1</v>
      </c>
      <c r="F242">
        <v>0</v>
      </c>
    </row>
    <row r="243" spans="1:6" x14ac:dyDescent="0.3">
      <c r="A243">
        <v>133</v>
      </c>
      <c r="B243" s="1" t="s">
        <v>270</v>
      </c>
      <c r="C243" s="1" t="s">
        <v>7</v>
      </c>
      <c r="D243" s="1" t="s">
        <v>8</v>
      </c>
      <c r="E243">
        <v>1</v>
      </c>
      <c r="F243">
        <v>0</v>
      </c>
    </row>
    <row r="244" spans="1:6" x14ac:dyDescent="0.3">
      <c r="A244">
        <v>133</v>
      </c>
      <c r="B244" s="1" t="s">
        <v>271</v>
      </c>
      <c r="C244" s="1" t="s">
        <v>26</v>
      </c>
      <c r="D244" s="1" t="s">
        <v>14</v>
      </c>
      <c r="E244">
        <v>1</v>
      </c>
      <c r="F244">
        <v>0</v>
      </c>
    </row>
    <row r="245" spans="1:6" x14ac:dyDescent="0.3">
      <c r="A245">
        <v>133</v>
      </c>
      <c r="B245" s="1" t="s">
        <v>272</v>
      </c>
      <c r="C245" s="1" t="s">
        <v>26</v>
      </c>
      <c r="D245" s="1" t="s">
        <v>14</v>
      </c>
      <c r="E245">
        <v>1</v>
      </c>
      <c r="F245">
        <v>1</v>
      </c>
    </row>
    <row r="246" spans="1:6" x14ac:dyDescent="0.3">
      <c r="A246">
        <v>133</v>
      </c>
      <c r="B246" s="1" t="s">
        <v>273</v>
      </c>
      <c r="C246" s="1" t="s">
        <v>41</v>
      </c>
      <c r="D246" s="1" t="s">
        <v>51</v>
      </c>
      <c r="E246">
        <v>1</v>
      </c>
      <c r="F246">
        <v>0</v>
      </c>
    </row>
  </sheetData>
  <mergeCells count="6">
    <mergeCell ref="I1:J1"/>
    <mergeCell ref="I11:J11"/>
    <mergeCell ref="L11:M11"/>
    <mergeCell ref="I25:J25"/>
    <mergeCell ref="L25:M25"/>
    <mergeCell ref="I49:J49"/>
  </mergeCells>
  <pageMargins left="0.7" right="0.7" top="0.75" bottom="0.75" header="0.3" footer="0.3"/>
  <pageSetup paperSize="9" orientation="portrait" r:id="rId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170B-082C-4208-AA5A-3D52079863B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8DC8C7-2CE0-46B1-8B3C-F62B5839CC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Scorers2026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Camastra</dc:creator>
  <cp:lastModifiedBy>Matteo Camastra</cp:lastModifiedBy>
  <dcterms:created xsi:type="dcterms:W3CDTF">2026-03-10T09:20:08Z</dcterms:created>
  <dcterms:modified xsi:type="dcterms:W3CDTF">2026-03-10T10:23:08Z</dcterms:modified>
</cp:coreProperties>
</file>